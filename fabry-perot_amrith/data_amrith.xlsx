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CER.DESKTOP-AET6VDV\Desktop\sem 5\optics lab\fabry-perot\"/>
    </mc:Choice>
  </mc:AlternateContent>
  <xr:revisionPtr revIDLastSave="0" documentId="13_ncr:1_{8EC58AA8-31CA-4282-B22E-229D75FF5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H3" i="1"/>
  <c r="H4" i="2"/>
  <c r="I4" i="2" s="1"/>
  <c r="H5" i="2"/>
  <c r="I5" i="2" s="1"/>
  <c r="H6" i="2"/>
  <c r="I6" i="2" s="1"/>
  <c r="G4" i="2"/>
  <c r="G5" i="2"/>
  <c r="G6" i="2"/>
  <c r="G7" i="2"/>
  <c r="H7" i="2" s="1"/>
  <c r="I7" i="2" s="1"/>
  <c r="G8" i="2"/>
  <c r="G9" i="2"/>
  <c r="G10" i="2"/>
  <c r="G3" i="2"/>
  <c r="D4" i="2"/>
  <c r="D5" i="2"/>
  <c r="D6" i="2"/>
  <c r="D7" i="2"/>
  <c r="D8" i="2"/>
  <c r="H8" i="2" s="1"/>
  <c r="I8" i="2" s="1"/>
  <c r="D9" i="2"/>
  <c r="H9" i="2" s="1"/>
  <c r="I9" i="2" s="1"/>
  <c r="D10" i="2"/>
  <c r="H10" i="2" s="1"/>
  <c r="I10" i="2" s="1"/>
  <c r="D3" i="2"/>
  <c r="H3" i="2" s="1"/>
  <c r="I3" i="2" s="1"/>
  <c r="G10" i="1"/>
  <c r="G11" i="1"/>
  <c r="G12" i="1"/>
  <c r="G3" i="1"/>
  <c r="F4" i="1"/>
  <c r="G4" i="1" s="1"/>
  <c r="F7" i="1"/>
  <c r="G7" i="1" s="1"/>
  <c r="F10" i="1"/>
  <c r="F11" i="1"/>
  <c r="F12" i="1"/>
  <c r="F3" i="1"/>
  <c r="E4" i="1"/>
  <c r="E5" i="1"/>
  <c r="F5" i="1" s="1"/>
  <c r="G5" i="1" s="1"/>
  <c r="E6" i="1"/>
  <c r="F6" i="1" s="1"/>
  <c r="G6" i="1" s="1"/>
  <c r="E7" i="1"/>
  <c r="E8" i="1"/>
  <c r="F8" i="1" s="1"/>
  <c r="G8" i="1" s="1"/>
  <c r="E9" i="1"/>
  <c r="F9" i="1" s="1"/>
  <c r="G9" i="1" s="1"/>
  <c r="E10" i="1"/>
  <c r="E11" i="1"/>
  <c r="E12" i="1"/>
  <c r="E3" i="1"/>
  <c r="J3" i="2" l="1"/>
</calcChain>
</file>

<file path=xl/sharedStrings.xml><?xml version="1.0" encoding="utf-8"?>
<sst xmlns="http://schemas.openxmlformats.org/spreadsheetml/2006/main" count="21" uniqueCount="15">
  <si>
    <t>MSR</t>
  </si>
  <si>
    <t>CSR</t>
  </si>
  <si>
    <t>λ (nm)</t>
  </si>
  <si>
    <t>VC</t>
  </si>
  <si>
    <t>Sl. No.</t>
  </si>
  <si>
    <t>No. of fringes appeared/disappeared (m2​−m1​)</t>
  </si>
  <si>
    <t>d2​−d1​ (cm)</t>
  </si>
  <si>
    <t>Mean λ (nm)</t>
  </si>
  <si>
    <t xml:space="preserve"> micrometer reading</t>
  </si>
  <si>
    <t>Total(mm)</t>
  </si>
  <si>
    <t>Δλ</t>
  </si>
  <si>
    <t>Avg. Δλ</t>
  </si>
  <si>
    <t>d′​</t>
  </si>
  <si>
    <t>d′′​</t>
  </si>
  <si>
    <t>2d​(mm)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</si>
</sst>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1" fontId="1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166" fontId="1" fillId="0" borderId="2" xfId="0" applyNumberFormat="1" applyFont="1" applyBorder="1" applyAlignment="1">
      <alignment horizontal="center" vertical="center" wrapText="1" readingOrder="1"/>
    </xf>
    <xf numFmtId="166" fontId="1" fillId="0" borderId="4" xfId="0" applyNumberFormat="1" applyFont="1" applyBorder="1" applyAlignment="1">
      <alignment horizontal="center" vertical="center" wrapText="1" readingOrder="1"/>
    </xf>
    <xf numFmtId="166" fontId="1" fillId="0" borderId="3" xfId="0" applyNumberFormat="1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right" vertical="center" wrapText="1" indent="1" readingOrder="1"/>
    </xf>
    <xf numFmtId="165" fontId="1" fillId="0" borderId="1" xfId="0" applyNumberFormat="1" applyFont="1" applyBorder="1" applyAlignment="1">
      <alignment horizontal="center" vertical="center" wrapText="1" readingOrder="1"/>
    </xf>
    <xf numFmtId="166" fontId="1" fillId="0" borderId="1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L8" sqref="L8"/>
    </sheetView>
  </sheetViews>
  <sheetFormatPr defaultRowHeight="14.4" x14ac:dyDescent="0.3"/>
  <cols>
    <col min="1" max="1" width="7.21875" bestFit="1" customWidth="1"/>
    <col min="2" max="2" width="20.5546875" customWidth="1"/>
    <col min="3" max="3" width="6.77734375" bestFit="1" customWidth="1"/>
    <col min="4" max="4" width="6.5546875" bestFit="1" customWidth="1"/>
    <col min="5" max="5" width="7.77734375" bestFit="1" customWidth="1"/>
    <col min="6" max="6" width="7.44140625" bestFit="1" customWidth="1"/>
    <col min="7" max="7" width="14.109375" bestFit="1" customWidth="1"/>
    <col min="8" max="8" width="12.6640625" bestFit="1" customWidth="1"/>
  </cols>
  <sheetData>
    <row r="1" spans="1:8" ht="97.2" customHeight="1" x14ac:dyDescent="0.3">
      <c r="A1" s="5" t="s">
        <v>4</v>
      </c>
      <c r="B1" s="5" t="s">
        <v>5</v>
      </c>
      <c r="C1" s="5" t="s">
        <v>8</v>
      </c>
      <c r="D1" s="5"/>
      <c r="E1" s="5"/>
      <c r="F1" s="5" t="s">
        <v>6</v>
      </c>
      <c r="G1" s="5" t="s">
        <v>2</v>
      </c>
      <c r="H1" s="5" t="s">
        <v>7</v>
      </c>
    </row>
    <row r="2" spans="1:8" ht="27.6" x14ac:dyDescent="0.3">
      <c r="A2" s="5"/>
      <c r="B2" s="5"/>
      <c r="C2" s="1" t="s">
        <v>0</v>
      </c>
      <c r="D2" s="1" t="s">
        <v>1</v>
      </c>
      <c r="E2" s="1" t="s">
        <v>9</v>
      </c>
      <c r="F2" s="5"/>
      <c r="G2" s="5"/>
      <c r="H2" s="5"/>
    </row>
    <row r="3" spans="1:8" x14ac:dyDescent="0.3">
      <c r="A3" s="2">
        <v>1</v>
      </c>
      <c r="B3" s="2">
        <v>10</v>
      </c>
      <c r="C3" s="2">
        <v>23</v>
      </c>
      <c r="D3" s="2">
        <v>40</v>
      </c>
      <c r="E3" s="2">
        <f>C3+0.01*D3</f>
        <v>23.4</v>
      </c>
      <c r="F3" s="2">
        <f>23.5-E3</f>
        <v>0.10000000000000142</v>
      </c>
      <c r="G3" s="2">
        <f>2*0.03*F3/(B3*10^-6)</f>
        <v>600.00000000000853</v>
      </c>
      <c r="H3" s="8">
        <f>AVERAGE(G3:G12)</f>
        <v>605.95714285714337</v>
      </c>
    </row>
    <row r="4" spans="1:8" x14ac:dyDescent="0.3">
      <c r="A4" s="2">
        <v>2</v>
      </c>
      <c r="B4" s="2">
        <v>20</v>
      </c>
      <c r="C4" s="2">
        <v>23</v>
      </c>
      <c r="D4" s="2">
        <v>30</v>
      </c>
      <c r="E4" s="2">
        <f t="shared" ref="E4:E12" si="0">C4+0.01*D4</f>
        <v>23.3</v>
      </c>
      <c r="F4" s="2">
        <f t="shared" ref="F4:F12" si="1">23.5-E4</f>
        <v>0.19999999999999929</v>
      </c>
      <c r="G4" s="2">
        <f t="shared" ref="G4:G12" si="2">2*0.03*F4/(B4*10^-6)</f>
        <v>599.99999999999784</v>
      </c>
      <c r="H4" s="9"/>
    </row>
    <row r="5" spans="1:8" x14ac:dyDescent="0.3">
      <c r="A5" s="2">
        <v>3</v>
      </c>
      <c r="B5" s="2">
        <v>30</v>
      </c>
      <c r="C5" s="2">
        <v>23</v>
      </c>
      <c r="D5" s="2">
        <v>19</v>
      </c>
      <c r="E5" s="2">
        <f t="shared" si="0"/>
        <v>23.19</v>
      </c>
      <c r="F5" s="2">
        <f t="shared" si="1"/>
        <v>0.30999999999999872</v>
      </c>
      <c r="G5" s="2">
        <f t="shared" si="2"/>
        <v>619.9999999999975</v>
      </c>
      <c r="H5" s="9"/>
    </row>
    <row r="6" spans="1:8" x14ac:dyDescent="0.3">
      <c r="A6" s="2">
        <v>4</v>
      </c>
      <c r="B6" s="2">
        <v>40</v>
      </c>
      <c r="C6" s="2">
        <v>23</v>
      </c>
      <c r="D6" s="2">
        <v>9</v>
      </c>
      <c r="E6" s="2">
        <f t="shared" si="0"/>
        <v>23.09</v>
      </c>
      <c r="F6" s="2">
        <f t="shared" si="1"/>
        <v>0.41000000000000014</v>
      </c>
      <c r="G6" s="2">
        <f t="shared" si="2"/>
        <v>615.00000000000023</v>
      </c>
      <c r="H6" s="9"/>
    </row>
    <row r="7" spans="1:8" x14ac:dyDescent="0.3">
      <c r="A7" s="2">
        <v>5</v>
      </c>
      <c r="B7" s="2">
        <v>50</v>
      </c>
      <c r="C7" s="2">
        <v>22.5</v>
      </c>
      <c r="D7" s="2">
        <v>49</v>
      </c>
      <c r="E7" s="2">
        <f t="shared" si="0"/>
        <v>22.99</v>
      </c>
      <c r="F7" s="2">
        <f t="shared" si="1"/>
        <v>0.51000000000000156</v>
      </c>
      <c r="G7" s="2">
        <f t="shared" si="2"/>
        <v>612.00000000000193</v>
      </c>
      <c r="H7" s="9"/>
    </row>
    <row r="8" spans="1:8" x14ac:dyDescent="0.3">
      <c r="A8" s="2">
        <v>6</v>
      </c>
      <c r="B8" s="2">
        <v>60</v>
      </c>
      <c r="C8" s="2">
        <v>22.5</v>
      </c>
      <c r="D8" s="2">
        <v>39</v>
      </c>
      <c r="E8" s="2">
        <f t="shared" si="0"/>
        <v>22.89</v>
      </c>
      <c r="F8" s="2">
        <f t="shared" si="1"/>
        <v>0.60999999999999943</v>
      </c>
      <c r="G8" s="2">
        <f t="shared" si="2"/>
        <v>609.99999999999943</v>
      </c>
      <c r="H8" s="9"/>
    </row>
    <row r="9" spans="1:8" x14ac:dyDescent="0.3">
      <c r="A9" s="2">
        <v>7</v>
      </c>
      <c r="B9" s="2">
        <v>70</v>
      </c>
      <c r="C9" s="2">
        <v>22.5</v>
      </c>
      <c r="D9" s="2">
        <v>29</v>
      </c>
      <c r="E9" s="2">
        <f t="shared" si="0"/>
        <v>22.79</v>
      </c>
      <c r="F9" s="2">
        <f t="shared" si="1"/>
        <v>0.71000000000000085</v>
      </c>
      <c r="G9" s="4">
        <f t="shared" si="2"/>
        <v>608.57142857142935</v>
      </c>
      <c r="H9" s="9"/>
    </row>
    <row r="10" spans="1:8" x14ac:dyDescent="0.3">
      <c r="A10" s="2">
        <v>8</v>
      </c>
      <c r="B10" s="2">
        <v>80</v>
      </c>
      <c r="C10" s="2">
        <v>22.5</v>
      </c>
      <c r="D10" s="2">
        <v>20</v>
      </c>
      <c r="E10" s="2">
        <f t="shared" si="0"/>
        <v>22.7</v>
      </c>
      <c r="F10" s="2">
        <f t="shared" si="1"/>
        <v>0.80000000000000071</v>
      </c>
      <c r="G10" s="2">
        <f t="shared" si="2"/>
        <v>600.00000000000057</v>
      </c>
      <c r="H10" s="9"/>
    </row>
    <row r="11" spans="1:8" x14ac:dyDescent="0.3">
      <c r="A11" s="2">
        <v>9</v>
      </c>
      <c r="B11" s="2">
        <v>90</v>
      </c>
      <c r="C11" s="2">
        <v>22.5</v>
      </c>
      <c r="D11" s="2">
        <v>10</v>
      </c>
      <c r="E11" s="2">
        <f t="shared" si="0"/>
        <v>22.6</v>
      </c>
      <c r="F11" s="2">
        <f t="shared" si="1"/>
        <v>0.89999999999999858</v>
      </c>
      <c r="G11" s="2">
        <f t="shared" si="2"/>
        <v>599.99999999999909</v>
      </c>
      <c r="H11" s="9"/>
    </row>
    <row r="12" spans="1:8" x14ac:dyDescent="0.3">
      <c r="A12" s="2">
        <v>10</v>
      </c>
      <c r="B12" s="2">
        <v>100</v>
      </c>
      <c r="C12" s="2">
        <v>22.5</v>
      </c>
      <c r="D12" s="2">
        <v>1</v>
      </c>
      <c r="E12" s="2">
        <f t="shared" si="0"/>
        <v>22.51</v>
      </c>
      <c r="F12" s="2">
        <f t="shared" si="1"/>
        <v>0.98999999999999844</v>
      </c>
      <c r="G12" s="2">
        <f t="shared" si="2"/>
        <v>593.99999999999909</v>
      </c>
      <c r="H12" s="10"/>
    </row>
  </sheetData>
  <mergeCells count="7">
    <mergeCell ref="H1:H2"/>
    <mergeCell ref="H3:H12"/>
    <mergeCell ref="C1:E1"/>
    <mergeCell ref="A1:A2"/>
    <mergeCell ref="B1:B2"/>
    <mergeCell ref="F1:F2"/>
    <mergeCell ref="G1:G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EE64-2EBF-4799-A6D6-64978B868E7E}">
  <dimension ref="A1:K11"/>
  <sheetViews>
    <sheetView workbookViewId="0">
      <selection activeCell="I3" sqref="I3"/>
    </sheetView>
  </sheetViews>
  <sheetFormatPr defaultRowHeight="14.4" x14ac:dyDescent="0.3"/>
  <cols>
    <col min="1" max="1" width="8.5546875" bestFit="1" customWidth="1"/>
    <col min="2" max="2" width="6.77734375" bestFit="1" customWidth="1"/>
    <col min="3" max="3" width="5.21875" bestFit="1" customWidth="1"/>
    <col min="4" max="4" width="7.77734375" bestFit="1" customWidth="1"/>
    <col min="5" max="5" width="6.77734375" bestFit="1" customWidth="1"/>
    <col min="6" max="6" width="5.21875" bestFit="1" customWidth="1"/>
    <col min="7" max="7" width="7.77734375" bestFit="1" customWidth="1"/>
    <col min="8" max="8" width="9.5546875" bestFit="1" customWidth="1"/>
    <col min="9" max="9" width="14.109375" bestFit="1" customWidth="1"/>
    <col min="10" max="10" width="12.6640625" bestFit="1" customWidth="1"/>
  </cols>
  <sheetData>
    <row r="1" spans="1:11" x14ac:dyDescent="0.3">
      <c r="A1" s="6" t="s">
        <v>4</v>
      </c>
      <c r="B1" s="5" t="s">
        <v>12</v>
      </c>
      <c r="C1" s="5"/>
      <c r="D1" s="5"/>
      <c r="E1" s="5" t="s">
        <v>13</v>
      </c>
      <c r="F1" s="5"/>
      <c r="G1" s="5"/>
      <c r="H1" s="5" t="s">
        <v>14</v>
      </c>
      <c r="I1" s="5" t="s">
        <v>10</v>
      </c>
      <c r="J1" s="5" t="s">
        <v>11</v>
      </c>
    </row>
    <row r="2" spans="1:11" ht="27.6" x14ac:dyDescent="0.3">
      <c r="A2" s="7"/>
      <c r="B2" s="1" t="s">
        <v>0</v>
      </c>
      <c r="C2" s="1" t="s">
        <v>3</v>
      </c>
      <c r="D2" s="1" t="s">
        <v>9</v>
      </c>
      <c r="E2" s="1" t="s">
        <v>0</v>
      </c>
      <c r="F2" s="1" t="s">
        <v>3</v>
      </c>
      <c r="G2" s="1" t="s">
        <v>9</v>
      </c>
      <c r="H2" s="5"/>
      <c r="I2" s="5"/>
      <c r="J2" s="5"/>
    </row>
    <row r="3" spans="1:11" x14ac:dyDescent="0.3">
      <c r="A3" s="3">
        <v>1</v>
      </c>
      <c r="B3" s="2">
        <v>3.5</v>
      </c>
      <c r="C3" s="2">
        <v>33</v>
      </c>
      <c r="D3" s="2">
        <f>B3+0.01*C3</f>
        <v>3.83</v>
      </c>
      <c r="E3" s="2">
        <v>4</v>
      </c>
      <c r="F3" s="2">
        <v>11</v>
      </c>
      <c r="G3" s="2">
        <f>E3+0.01*F3</f>
        <v>4.1100000000000003</v>
      </c>
      <c r="H3" s="3">
        <f>2*(G3-D3)</f>
        <v>0.5600000000000005</v>
      </c>
      <c r="I3" s="13">
        <f>589.3^2/(H3*10^6)</f>
        <v>0.62013301785714225</v>
      </c>
      <c r="J3" s="12">
        <f>AVERAGE(I3:I10)</f>
        <v>0.62367290182683521</v>
      </c>
      <c r="K3">
        <f>0.5*AVERAGE(H3:H10)</f>
        <v>0.28000000000000003</v>
      </c>
    </row>
    <row r="4" spans="1:11" x14ac:dyDescent="0.3">
      <c r="A4" s="3">
        <v>2</v>
      </c>
      <c r="B4" s="2">
        <v>4</v>
      </c>
      <c r="C4" s="2">
        <v>11</v>
      </c>
      <c r="D4" s="2">
        <f t="shared" ref="D4:D10" si="0">B4+0.01*C4</f>
        <v>4.1100000000000003</v>
      </c>
      <c r="E4" s="2">
        <v>4</v>
      </c>
      <c r="F4" s="2">
        <v>35</v>
      </c>
      <c r="G4" s="2">
        <f t="shared" ref="G4:G10" si="1">E4+0.01*F4</f>
        <v>4.3499999999999996</v>
      </c>
      <c r="H4" s="3">
        <f t="shared" ref="H4:H10" si="2">2*(G4-D4)</f>
        <v>0.47999999999999865</v>
      </c>
      <c r="I4" s="13">
        <f t="shared" ref="I4:I10" si="3">589.3^2/(H4*10^6)</f>
        <v>0.72348852083333526</v>
      </c>
      <c r="J4" s="12"/>
    </row>
    <row r="5" spans="1:11" x14ac:dyDescent="0.3">
      <c r="A5" s="3">
        <v>3</v>
      </c>
      <c r="B5" s="2">
        <v>4</v>
      </c>
      <c r="C5" s="2">
        <v>35</v>
      </c>
      <c r="D5" s="2">
        <f t="shared" si="0"/>
        <v>4.3499999999999996</v>
      </c>
      <c r="E5" s="2">
        <v>4.5</v>
      </c>
      <c r="F5" s="2">
        <v>16</v>
      </c>
      <c r="G5" s="2">
        <f t="shared" si="1"/>
        <v>4.66</v>
      </c>
      <c r="H5" s="3">
        <f t="shared" si="2"/>
        <v>0.62000000000000099</v>
      </c>
      <c r="I5" s="13">
        <f t="shared" si="3"/>
        <v>0.56012014516128927</v>
      </c>
      <c r="J5" s="12"/>
    </row>
    <row r="6" spans="1:11" x14ac:dyDescent="0.3">
      <c r="A6" s="3">
        <v>4</v>
      </c>
      <c r="B6" s="2">
        <v>4.5</v>
      </c>
      <c r="C6" s="2">
        <v>16</v>
      </c>
      <c r="D6" s="2">
        <f t="shared" si="0"/>
        <v>4.66</v>
      </c>
      <c r="E6" s="2">
        <v>4.5</v>
      </c>
      <c r="F6" s="2">
        <v>44</v>
      </c>
      <c r="G6" s="2">
        <f t="shared" si="1"/>
        <v>4.9400000000000004</v>
      </c>
      <c r="H6" s="3">
        <f t="shared" si="2"/>
        <v>0.5600000000000005</v>
      </c>
      <c r="I6" s="13">
        <f t="shared" si="3"/>
        <v>0.62013301785714225</v>
      </c>
      <c r="J6" s="12"/>
    </row>
    <row r="7" spans="1:11" x14ac:dyDescent="0.3">
      <c r="A7" s="3">
        <v>5</v>
      </c>
      <c r="B7" s="2">
        <v>4.5</v>
      </c>
      <c r="C7" s="2">
        <v>44</v>
      </c>
      <c r="D7" s="2">
        <f t="shared" si="0"/>
        <v>4.9400000000000004</v>
      </c>
      <c r="E7" s="2">
        <v>5</v>
      </c>
      <c r="F7" s="2">
        <v>24</v>
      </c>
      <c r="G7" s="2">
        <f t="shared" si="1"/>
        <v>5.24</v>
      </c>
      <c r="H7" s="3">
        <f t="shared" si="2"/>
        <v>0.59999999999999964</v>
      </c>
      <c r="I7" s="13">
        <f t="shared" si="3"/>
        <v>0.57879081666666687</v>
      </c>
      <c r="J7" s="12"/>
    </row>
    <row r="8" spans="1:11" x14ac:dyDescent="0.3">
      <c r="A8" s="3">
        <v>6</v>
      </c>
      <c r="B8" s="2">
        <v>3.5</v>
      </c>
      <c r="C8" s="2">
        <v>29</v>
      </c>
      <c r="D8" s="2">
        <f t="shared" si="0"/>
        <v>3.79</v>
      </c>
      <c r="E8" s="2">
        <v>4</v>
      </c>
      <c r="F8" s="2">
        <v>8</v>
      </c>
      <c r="G8" s="2">
        <f t="shared" si="1"/>
        <v>4.08</v>
      </c>
      <c r="H8" s="3">
        <f t="shared" si="2"/>
        <v>0.58000000000000007</v>
      </c>
      <c r="I8" s="13">
        <f t="shared" si="3"/>
        <v>0.59874912068965491</v>
      </c>
      <c r="J8" s="12"/>
    </row>
    <row r="9" spans="1:11" x14ac:dyDescent="0.3">
      <c r="A9" s="3">
        <v>7</v>
      </c>
      <c r="B9" s="2">
        <v>4</v>
      </c>
      <c r="C9" s="2">
        <v>8</v>
      </c>
      <c r="D9" s="2">
        <f t="shared" si="0"/>
        <v>4.08</v>
      </c>
      <c r="E9" s="2">
        <v>4</v>
      </c>
      <c r="F9" s="2">
        <v>36</v>
      </c>
      <c r="G9" s="2">
        <f t="shared" si="1"/>
        <v>4.3600000000000003</v>
      </c>
      <c r="H9" s="3">
        <f t="shared" si="2"/>
        <v>0.5600000000000005</v>
      </c>
      <c r="I9" s="13">
        <f t="shared" si="3"/>
        <v>0.62013301785714225</v>
      </c>
      <c r="J9" s="12"/>
    </row>
    <row r="10" spans="1:11" x14ac:dyDescent="0.3">
      <c r="A10" s="3">
        <v>8</v>
      </c>
      <c r="B10" s="2">
        <v>4</v>
      </c>
      <c r="C10" s="2">
        <v>38</v>
      </c>
      <c r="D10" s="2">
        <f t="shared" si="0"/>
        <v>4.38</v>
      </c>
      <c r="E10" s="2">
        <v>4.5</v>
      </c>
      <c r="F10" s="2">
        <v>14</v>
      </c>
      <c r="G10" s="2">
        <f t="shared" si="1"/>
        <v>4.6399999999999997</v>
      </c>
      <c r="H10" s="3">
        <f t="shared" si="2"/>
        <v>0.51999999999999957</v>
      </c>
      <c r="I10" s="13">
        <f t="shared" si="3"/>
        <v>0.66783555769230807</v>
      </c>
      <c r="J10" s="12"/>
    </row>
    <row r="11" spans="1:11" x14ac:dyDescent="0.3">
      <c r="A11" s="11"/>
    </row>
  </sheetData>
  <mergeCells count="7">
    <mergeCell ref="J3:J10"/>
    <mergeCell ref="A1:A2"/>
    <mergeCell ref="B1:D1"/>
    <mergeCell ref="E1:G1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2025-10-26T20:07:43Z</dcterms:modified>
</cp:coreProperties>
</file>
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ACER.DESKTOP-AET6VDV\Desktop\sem 5\optics lab\P_345-P_343-Laboratory-Resources\diffraction_amrith\"/>
    </mc:Choice>
  </mc:AlternateContent>
  <xr:revisionPtr revIDLastSave="0" documentId="13_ncr:1_{AB42738D-29AA-48B3-B9B5-4389AFB8DD15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lit width and wire thickness" sheetId="2" r:id="rId1"/>
    <sheet name="single slit diffraction" sheetId="3" r:id="rId2"/>
    <sheet name="babinets principle" sheetId="4" r:id="rId3"/>
    <sheet name="double slit width" sheetId="1" r:id="rId4"/>
    <sheet name="double slit diffrac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4" l="1"/>
  <c r="D10" i="4"/>
  <c r="Q12" i="5"/>
  <c r="J13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4" i="5"/>
  <c r="M5" i="5"/>
  <c r="M6" i="5"/>
  <c r="M7" i="5"/>
  <c r="M8" i="5"/>
  <c r="M4" i="5"/>
  <c r="P5" i="5"/>
  <c r="P6" i="5"/>
  <c r="P7" i="5"/>
  <c r="P8" i="5"/>
  <c r="P4" i="5"/>
  <c r="O5" i="5"/>
  <c r="O6" i="5"/>
  <c r="O7" i="5"/>
  <c r="O8" i="5"/>
  <c r="O4" i="5"/>
  <c r="L5" i="5"/>
  <c r="L6" i="5"/>
  <c r="L7" i="5"/>
  <c r="L8" i="5"/>
  <c r="L4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4" i="5"/>
  <c r="K5" i="1"/>
  <c r="L7" i="1"/>
  <c r="L3" i="1"/>
  <c r="J5" i="1"/>
  <c r="J7" i="1"/>
  <c r="J9" i="1"/>
  <c r="J3" i="1"/>
  <c r="F5" i="1"/>
  <c r="F7" i="1"/>
  <c r="F9" i="1"/>
  <c r="F3" i="1"/>
  <c r="K4" i="1"/>
  <c r="K6" i="1"/>
  <c r="K7" i="1"/>
  <c r="K8" i="1"/>
  <c r="K9" i="1"/>
  <c r="K10" i="1"/>
  <c r="K3" i="1"/>
  <c r="I4" i="1"/>
  <c r="I5" i="1"/>
  <c r="I6" i="1"/>
  <c r="I7" i="1"/>
  <c r="I8" i="1"/>
  <c r="I9" i="1"/>
  <c r="I10" i="1"/>
  <c r="I3" i="1"/>
  <c r="E4" i="1"/>
  <c r="E5" i="1"/>
  <c r="E6" i="1"/>
  <c r="E7" i="1"/>
  <c r="E8" i="1"/>
  <c r="E9" i="1"/>
  <c r="E10" i="1"/>
  <c r="E3" i="1"/>
  <c r="I19" i="2"/>
  <c r="E19" i="2"/>
  <c r="K19" i="2" s="1"/>
  <c r="I18" i="2"/>
  <c r="E18" i="2"/>
  <c r="K18" i="2" s="1"/>
  <c r="I17" i="2"/>
  <c r="J17" i="2" s="1"/>
  <c r="E17" i="2"/>
  <c r="F13" i="3"/>
  <c r="L6" i="2"/>
  <c r="K5" i="2"/>
  <c r="K6" i="2"/>
  <c r="K7" i="2"/>
  <c r="K8" i="2"/>
  <c r="K3" i="2"/>
  <c r="D11" i="4"/>
  <c r="H11" i="4"/>
  <c r="G11" i="4"/>
  <c r="G10" i="4"/>
  <c r="G9" i="4"/>
  <c r="D9" i="4"/>
  <c r="G8" i="4"/>
  <c r="D8" i="4"/>
  <c r="G7" i="4"/>
  <c r="D7" i="4"/>
  <c r="G6" i="4"/>
  <c r="D6" i="4"/>
  <c r="G5" i="4"/>
  <c r="D5" i="4"/>
  <c r="G4" i="4"/>
  <c r="D4" i="4"/>
  <c r="G3" i="4"/>
  <c r="D3" i="4"/>
  <c r="H4" i="3"/>
  <c r="H5" i="3"/>
  <c r="H6" i="3"/>
  <c r="H7" i="3"/>
  <c r="H8" i="3"/>
  <c r="H9" i="3"/>
  <c r="H10" i="3"/>
  <c r="H3" i="3"/>
  <c r="D4" i="3"/>
  <c r="D5" i="3"/>
  <c r="D6" i="3"/>
  <c r="D7" i="3"/>
  <c r="D8" i="3"/>
  <c r="D9" i="3"/>
  <c r="D10" i="3"/>
  <c r="D3" i="3"/>
  <c r="G4" i="3"/>
  <c r="G5" i="3"/>
  <c r="G6" i="3"/>
  <c r="G7" i="3"/>
  <c r="G8" i="3"/>
  <c r="G9" i="3"/>
  <c r="G10" i="3"/>
  <c r="G3" i="3"/>
  <c r="J6" i="2"/>
  <c r="F6" i="2"/>
  <c r="F3" i="2"/>
  <c r="I4" i="2"/>
  <c r="K4" i="2" s="1"/>
  <c r="L3" i="2" s="1"/>
  <c r="I5" i="2"/>
  <c r="I6" i="2"/>
  <c r="I7" i="2"/>
  <c r="I8" i="2"/>
  <c r="I3" i="2"/>
  <c r="E4" i="2"/>
  <c r="E5" i="2"/>
  <c r="E6" i="2"/>
  <c r="E7" i="2"/>
  <c r="E8" i="2"/>
  <c r="E3" i="2"/>
  <c r="Q3" i="5" l="1"/>
  <c r="H3" i="5"/>
  <c r="K17" i="2"/>
  <c r="L17" i="2"/>
  <c r="F17" i="2"/>
  <c r="J3" i="2"/>
  <c r="H5" i="4"/>
  <c r="H6" i="4"/>
  <c r="H7" i="4"/>
  <c r="H8" i="4"/>
  <c r="H3" i="4"/>
  <c r="H9" i="4"/>
  <c r="H4" i="4"/>
  <c r="H10" i="4"/>
</calcChain>
</file>

<file path=xl/sharedStrings.xml><?xml version="1.0" encoding="utf-8"?>
<sst xmlns="http://schemas.openxmlformats.org/spreadsheetml/2006/main" count="102" uniqueCount="53">
  <si>
    <t>Order m</t>
  </si>
  <si>
    <t>Left fringes</t>
  </si>
  <si>
    <t>Right fringes</t>
  </si>
  <si>
    <t>$\alpha^l = $ (cm)</t>
  </si>
  <si>
    <t>$\alpha^r = $ (cm)</t>
  </si>
  <si>
    <t>Object</t>
  </si>
  <si>
    <t>Obs</t>
  </si>
  <si>
    <t>Left edge</t>
  </si>
  <si>
    <t>Right edge</t>
  </si>
  <si>
    <t>Mean T</t>
  </si>
  <si>
    <t>Single slit</t>
  </si>
  <si>
    <t>Wire</t>
  </si>
  <si>
    <t>MSR</t>
  </si>
  <si>
    <t>VC</t>
  </si>
  <si>
    <t>T</t>
  </si>
  <si>
    <t>Left edge(cm)</t>
  </si>
  <si>
    <t>Right edge(cm)</t>
  </si>
  <si>
    <t>b (cm)</t>
  </si>
  <si>
    <t>Mean b (cm)</t>
  </si>
  <si>
    <t>xm​=αl∼αr (cm)</t>
  </si>
  <si>
    <t>$\alpha_1^l$ (cm)</t>
  </si>
  <si>
    <t>$\alpha_2^l$ (cm)</t>
  </si>
  <si>
    <t>$\alpha_1^r$ (cm)</t>
  </si>
  <si>
    <t>$\alpha_2^r$ (cm)</t>
  </si>
  <si>
    <t>slope= 2D lambda /b</t>
  </si>
  <si>
    <t xml:space="preserve">lambda </t>
  </si>
  <si>
    <t>slope =</t>
  </si>
  <si>
    <t>b(cm)</t>
  </si>
  <si>
    <t>b(measured)</t>
  </si>
  <si>
    <t>slit-1</t>
  </si>
  <si>
    <t>slit-2</t>
  </si>
  <si>
    <t>b(from slit)</t>
  </si>
  <si>
    <t>babinets</t>
  </si>
  <si>
    <t>Width (cm)</t>
  </si>
  <si>
    <t>Mean width (cm)</t>
  </si>
  <si>
    <t>slit-1 + wire</t>
  </si>
  <si>
    <t>slit-2 + wire</t>
  </si>
  <si>
    <t>M</t>
  </si>
  <si>
    <t xml:space="preserve">T </t>
  </si>
  <si>
    <t>Average d (cm)</t>
  </si>
  <si>
    <t>$x_p$ (cm)</t>
  </si>
  <si>
    <t>$\Delta x_p$ (cm)</t>
  </si>
  <si>
    <t>$d$ (cm)</t>
  </si>
  <si>
    <t>Average $b$ (cm)</t>
  </si>
  <si>
    <t>$x_m$ (cm)</t>
  </si>
  <si>
    <t>$\Delta x_m$ (cm)</t>
  </si>
  <si>
    <t>$b$ (cm)</t>
  </si>
  <si>
    <t>Interference Order(0+n)</t>
  </si>
  <si>
    <t>Diffraction Order(0+m)</t>
  </si>
  <si>
    <t>-</t>
  </si>
  <si>
    <t>xm​ (cm)</t>
  </si>
  <si>
    <t>$\alpha^r $ (cm)</t>
  </si>
  <si>
    <t>$\alpha^l $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</si>
</sst>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0"/>
    <numFmt numFmtId="172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 applyAlignment="1">
      <alignment horizontal="right" vertical="center" wrapText="1" indent="1" readingOrder="1"/>
    </xf>
    <xf numFmtId="0" fontId="0" fillId="0" borderId="0" xfId="0" applyBorder="1"/>
    <xf numFmtId="0" fontId="2" fillId="0" borderId="0" xfId="0" applyFont="1" applyFill="1" applyBorder="1" applyAlignment="1">
      <alignment horizontal="right" vertical="center" wrapText="1" indent="1" readingOrder="1"/>
    </xf>
    <xf numFmtId="0" fontId="1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right" vertical="center" wrapText="1" indent="1" readingOrder="1"/>
    </xf>
    <xf numFmtId="0" fontId="2" fillId="0" borderId="0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171" fontId="2" fillId="0" borderId="1" xfId="0" applyNumberFormat="1" applyFont="1" applyBorder="1" applyAlignment="1">
      <alignment horizontal="right" vertical="center" wrapText="1" indent="1" readingOrder="1"/>
    </xf>
    <xf numFmtId="171" fontId="2" fillId="0" borderId="1" xfId="0" applyNumberFormat="1" applyFont="1" applyBorder="1" applyAlignment="1">
      <alignment horizontal="center" vertical="center" wrapText="1" readingOrder="1"/>
    </xf>
    <xf numFmtId="172" fontId="4" fillId="0" borderId="1" xfId="0" applyNumberFormat="1" applyFont="1" applyBorder="1" applyAlignment="1">
      <alignment horizontal="center" wrapText="1"/>
    </xf>
    <xf numFmtId="172" fontId="2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7C70-0352-4A48-8995-9850B7792295}">
  <dimension ref="A1:L19"/>
  <sheetViews>
    <sheetView topLeftCell="A11" workbookViewId="0">
      <selection activeCell="F31" sqref="F31"/>
    </sheetView>
  </sheetViews>
  <sheetFormatPr defaultRowHeight="14.4" x14ac:dyDescent="0.3"/>
  <cols>
    <col min="6" max="6" width="12.6640625" bestFit="1" customWidth="1"/>
    <col min="11" max="12" width="12.6640625" bestFit="1" customWidth="1"/>
  </cols>
  <sheetData>
    <row r="1" spans="1:12" ht="28.2" customHeight="1" x14ac:dyDescent="0.3">
      <c r="A1" s="5" t="s">
        <v>5</v>
      </c>
      <c r="B1" s="5" t="s">
        <v>6</v>
      </c>
      <c r="C1" s="5" t="s">
        <v>15</v>
      </c>
      <c r="D1" s="5"/>
      <c r="E1" s="5"/>
      <c r="F1" s="5"/>
      <c r="G1" s="5" t="s">
        <v>16</v>
      </c>
      <c r="H1" s="5"/>
      <c r="I1" s="5"/>
      <c r="J1" s="5"/>
      <c r="K1" s="5" t="s">
        <v>17</v>
      </c>
      <c r="L1" s="5" t="s">
        <v>18</v>
      </c>
    </row>
    <row r="2" spans="1:12" ht="27.6" x14ac:dyDescent="0.3">
      <c r="A2" s="5"/>
      <c r="B2" s="5"/>
      <c r="C2" s="12" t="s">
        <v>12</v>
      </c>
      <c r="D2" s="12" t="s">
        <v>13</v>
      </c>
      <c r="E2" s="12" t="s">
        <v>14</v>
      </c>
      <c r="F2" s="12" t="s">
        <v>9</v>
      </c>
      <c r="G2" s="12" t="s">
        <v>12</v>
      </c>
      <c r="H2" s="12" t="s">
        <v>13</v>
      </c>
      <c r="I2" s="12" t="s">
        <v>14</v>
      </c>
      <c r="J2" s="12" t="s">
        <v>9</v>
      </c>
      <c r="K2" s="5"/>
      <c r="L2" s="5"/>
    </row>
    <row r="3" spans="1:12" ht="28.2" customHeight="1" x14ac:dyDescent="0.3">
      <c r="A3" s="5" t="s">
        <v>10</v>
      </c>
      <c r="B3" s="13">
        <v>1</v>
      </c>
      <c r="C3" s="13">
        <v>8.15</v>
      </c>
      <c r="D3" s="13">
        <v>1</v>
      </c>
      <c r="E3" s="13">
        <f>C3+0.001*D3</f>
        <v>8.1509999999999998</v>
      </c>
      <c r="F3" s="24">
        <f>AVERAGE(E3:E5)</f>
        <v>8.1643333333333334</v>
      </c>
      <c r="G3" s="13">
        <v>8.1</v>
      </c>
      <c r="H3" s="13">
        <v>32</v>
      </c>
      <c r="I3" s="13">
        <f>G3+0.001*H3</f>
        <v>8.1319999999999997</v>
      </c>
      <c r="J3" s="9">
        <f>AVERAGE(I3:I5)</f>
        <v>8.1449999999999996</v>
      </c>
      <c r="K3" s="14">
        <f>E3-I3</f>
        <v>1.9000000000000128E-2</v>
      </c>
      <c r="L3" s="24">
        <f>AVERAGE(K3:K5)</f>
        <v>1.9333333333333869E-2</v>
      </c>
    </row>
    <row r="4" spans="1:12" x14ac:dyDescent="0.3">
      <c r="A4" s="5"/>
      <c r="B4" s="13">
        <v>2</v>
      </c>
      <c r="C4" s="13">
        <v>8.15</v>
      </c>
      <c r="D4" s="13">
        <v>13</v>
      </c>
      <c r="E4" s="13">
        <f t="shared" ref="E4:E8" si="0">C4+0.001*D4</f>
        <v>8.1630000000000003</v>
      </c>
      <c r="F4" s="24"/>
      <c r="G4" s="13">
        <v>8.1</v>
      </c>
      <c r="H4" s="13">
        <v>46</v>
      </c>
      <c r="I4" s="13">
        <f t="shared" ref="I4:I8" si="1">G4+0.001*H4</f>
        <v>8.145999999999999</v>
      </c>
      <c r="J4" s="9"/>
      <c r="K4" s="14">
        <f t="shared" ref="K4:K8" si="2">E4-I4</f>
        <v>1.7000000000001236E-2</v>
      </c>
      <c r="L4" s="24"/>
    </row>
    <row r="5" spans="1:12" x14ac:dyDescent="0.3">
      <c r="A5" s="5"/>
      <c r="B5" s="13">
        <v>3</v>
      </c>
      <c r="C5" s="13">
        <v>8.15</v>
      </c>
      <c r="D5" s="13">
        <v>29</v>
      </c>
      <c r="E5" s="13">
        <f t="shared" si="0"/>
        <v>8.1790000000000003</v>
      </c>
      <c r="F5" s="24"/>
      <c r="G5" s="13">
        <v>8.15</v>
      </c>
      <c r="H5" s="13">
        <v>7</v>
      </c>
      <c r="I5" s="13">
        <f t="shared" si="1"/>
        <v>8.157</v>
      </c>
      <c r="J5" s="9"/>
      <c r="K5" s="14">
        <f t="shared" si="2"/>
        <v>2.2000000000000242E-2</v>
      </c>
      <c r="L5" s="24"/>
    </row>
    <row r="6" spans="1:12" ht="28.2" customHeight="1" x14ac:dyDescent="0.3">
      <c r="A6" s="5" t="s">
        <v>11</v>
      </c>
      <c r="B6" s="13">
        <v>1</v>
      </c>
      <c r="C6" s="13">
        <v>8.4</v>
      </c>
      <c r="D6" s="13">
        <v>19</v>
      </c>
      <c r="E6" s="13">
        <f t="shared" si="0"/>
        <v>8.4190000000000005</v>
      </c>
      <c r="F6" s="24">
        <f>AVERAGE(E6:E8)</f>
        <v>8.4256666666666664</v>
      </c>
      <c r="G6" s="13">
        <v>8.4</v>
      </c>
      <c r="H6" s="13">
        <v>3</v>
      </c>
      <c r="I6" s="13">
        <f t="shared" si="1"/>
        <v>8.4030000000000005</v>
      </c>
      <c r="J6" s="9">
        <f>AVERAGE(I6:I8)</f>
        <v>8.4080000000000013</v>
      </c>
      <c r="K6" s="14">
        <f t="shared" si="2"/>
        <v>1.6000000000000014E-2</v>
      </c>
      <c r="L6" s="24">
        <f>AVERAGE(K6:K8)</f>
        <v>1.7666666666666941E-2</v>
      </c>
    </row>
    <row r="7" spans="1:12" x14ac:dyDescent="0.3">
      <c r="A7" s="5"/>
      <c r="B7" s="13">
        <v>2</v>
      </c>
      <c r="C7" s="13">
        <v>8.4</v>
      </c>
      <c r="D7" s="13">
        <v>26</v>
      </c>
      <c r="E7" s="13">
        <f t="shared" si="0"/>
        <v>8.4260000000000002</v>
      </c>
      <c r="F7" s="24"/>
      <c r="G7" s="13">
        <v>8.4</v>
      </c>
      <c r="H7" s="13">
        <v>7</v>
      </c>
      <c r="I7" s="13">
        <f t="shared" si="1"/>
        <v>8.407</v>
      </c>
      <c r="J7" s="9"/>
      <c r="K7" s="14">
        <f t="shared" si="2"/>
        <v>1.9000000000000128E-2</v>
      </c>
      <c r="L7" s="24"/>
    </row>
    <row r="8" spans="1:12" x14ac:dyDescent="0.3">
      <c r="A8" s="5"/>
      <c r="B8" s="13">
        <v>3</v>
      </c>
      <c r="C8" s="13">
        <v>8.4</v>
      </c>
      <c r="D8" s="13">
        <v>32</v>
      </c>
      <c r="E8" s="13">
        <f t="shared" si="0"/>
        <v>8.4320000000000004</v>
      </c>
      <c r="F8" s="24"/>
      <c r="G8" s="13">
        <v>8.4</v>
      </c>
      <c r="H8" s="13">
        <v>14</v>
      </c>
      <c r="I8" s="13">
        <f t="shared" si="1"/>
        <v>8.4139999999999997</v>
      </c>
      <c r="J8" s="9"/>
      <c r="K8" s="14">
        <f t="shared" si="2"/>
        <v>1.8000000000000682E-2</v>
      </c>
      <c r="L8" s="24"/>
    </row>
    <row r="9" spans="1:12" x14ac:dyDescent="0.3"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B14" t="s">
        <v>32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B15" s="5" t="s">
        <v>6</v>
      </c>
      <c r="C15" s="5" t="s">
        <v>15</v>
      </c>
      <c r="D15" s="5"/>
      <c r="E15" s="5"/>
      <c r="F15" s="5"/>
      <c r="G15" s="5" t="s">
        <v>16</v>
      </c>
      <c r="H15" s="5"/>
      <c r="I15" s="5"/>
      <c r="J15" s="5"/>
      <c r="K15" s="5" t="s">
        <v>17</v>
      </c>
      <c r="L15" s="5" t="s">
        <v>18</v>
      </c>
    </row>
    <row r="16" spans="1:12" ht="27.6" x14ac:dyDescent="0.3">
      <c r="B16" s="5"/>
      <c r="C16" s="12" t="s">
        <v>12</v>
      </c>
      <c r="D16" s="12" t="s">
        <v>13</v>
      </c>
      <c r="E16" s="12" t="s">
        <v>14</v>
      </c>
      <c r="F16" s="12" t="s">
        <v>9</v>
      </c>
      <c r="G16" s="12" t="s">
        <v>12</v>
      </c>
      <c r="H16" s="12" t="s">
        <v>13</v>
      </c>
      <c r="I16" s="12" t="s">
        <v>14</v>
      </c>
      <c r="J16" s="12" t="s">
        <v>9</v>
      </c>
      <c r="K16" s="5"/>
      <c r="L16" s="5"/>
    </row>
    <row r="17" spans="2:12" x14ac:dyDescent="0.3">
      <c r="B17" s="13">
        <v>1</v>
      </c>
      <c r="C17" s="13">
        <v>8.4499999999999993</v>
      </c>
      <c r="D17" s="13">
        <v>26</v>
      </c>
      <c r="E17" s="13">
        <f>C17+0.001*D17</f>
        <v>8.4759999999999991</v>
      </c>
      <c r="F17" s="24">
        <f>AVERAGE(E17:E19)</f>
        <v>8.4759999999999991</v>
      </c>
      <c r="G17" s="13">
        <v>8.4499999999999993</v>
      </c>
      <c r="H17" s="13">
        <v>5</v>
      </c>
      <c r="I17" s="13">
        <f>G17+0.001*H17</f>
        <v>8.4550000000000001</v>
      </c>
      <c r="J17" s="24">
        <f>AVERAGE(I17:I19)</f>
        <v>8.4566666666666652</v>
      </c>
      <c r="K17" s="14">
        <f>E17-I17</f>
        <v>2.0999999999999019E-2</v>
      </c>
      <c r="L17" s="24">
        <f>AVERAGE(K17:K19)</f>
        <v>1.9333333333333275E-2</v>
      </c>
    </row>
    <row r="18" spans="2:12" x14ac:dyDescent="0.3">
      <c r="B18" s="13">
        <v>2</v>
      </c>
      <c r="C18" s="13">
        <v>8.4499999999999993</v>
      </c>
      <c r="D18" s="13">
        <v>25</v>
      </c>
      <c r="E18" s="13">
        <f t="shared" ref="E18:E19" si="3">C18+0.001*D18</f>
        <v>8.4749999999999996</v>
      </c>
      <c r="F18" s="24"/>
      <c r="G18" s="13">
        <v>8.4499999999999993</v>
      </c>
      <c r="H18" s="13">
        <v>7</v>
      </c>
      <c r="I18" s="13">
        <f t="shared" ref="I18:I19" si="4">G18+0.001*H18</f>
        <v>8.456999999999999</v>
      </c>
      <c r="J18" s="24"/>
      <c r="K18" s="14">
        <f t="shared" ref="K18:K19" si="5">E18-I18</f>
        <v>1.8000000000000682E-2</v>
      </c>
      <c r="L18" s="24"/>
    </row>
    <row r="19" spans="2:12" x14ac:dyDescent="0.3">
      <c r="B19" s="13">
        <v>3</v>
      </c>
      <c r="C19" s="13">
        <v>8.4499999999999993</v>
      </c>
      <c r="D19" s="13">
        <v>27</v>
      </c>
      <c r="E19" s="13">
        <f t="shared" si="3"/>
        <v>8.4769999999999985</v>
      </c>
      <c r="F19" s="24"/>
      <c r="G19" s="13">
        <v>8.4499999999999993</v>
      </c>
      <c r="H19" s="13">
        <v>8</v>
      </c>
      <c r="I19" s="13">
        <f t="shared" si="4"/>
        <v>8.4579999999999984</v>
      </c>
      <c r="J19" s="24"/>
      <c r="K19" s="14">
        <f t="shared" si="5"/>
        <v>1.9000000000000128E-2</v>
      </c>
      <c r="L19" s="24"/>
    </row>
  </sheetData>
  <mergeCells count="22">
    <mergeCell ref="B15:B16"/>
    <mergeCell ref="C15:F15"/>
    <mergeCell ref="G15:J15"/>
    <mergeCell ref="K15:K16"/>
    <mergeCell ref="L15:L16"/>
    <mergeCell ref="F17:F19"/>
    <mergeCell ref="J17:J19"/>
    <mergeCell ref="L17:L19"/>
    <mergeCell ref="K1:K2"/>
    <mergeCell ref="L1:L2"/>
    <mergeCell ref="L3:L5"/>
    <mergeCell ref="L6:L8"/>
    <mergeCell ref="A1:A2"/>
    <mergeCell ref="A3:A5"/>
    <mergeCell ref="A6:A8"/>
    <mergeCell ref="B1:B2"/>
    <mergeCell ref="C1:F1"/>
    <mergeCell ref="G1:J1"/>
    <mergeCell ref="F3:F5"/>
    <mergeCell ref="F6:F8"/>
    <mergeCell ref="J3:J5"/>
    <mergeCell ref="J6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7D01-ED91-466A-84DC-DF53EDBE4523}">
  <dimension ref="A1:H13"/>
  <sheetViews>
    <sheetView workbookViewId="0">
      <selection activeCell="H13" sqref="H13"/>
    </sheetView>
  </sheetViews>
  <sheetFormatPr defaultRowHeight="14.4" x14ac:dyDescent="0.3"/>
  <sheetData>
    <row r="1" spans="1:8" ht="41.4" x14ac:dyDescent="0.3">
      <c r="A1" s="5" t="s">
        <v>0</v>
      </c>
      <c r="B1" s="5" t="s">
        <v>1</v>
      </c>
      <c r="C1" s="5"/>
      <c r="D1" s="5"/>
      <c r="E1" s="5" t="s">
        <v>2</v>
      </c>
      <c r="F1" s="5"/>
      <c r="G1" s="5"/>
      <c r="H1" s="6" t="s">
        <v>19</v>
      </c>
    </row>
    <row r="2" spans="1:8" ht="41.4" x14ac:dyDescent="0.3">
      <c r="A2" s="5"/>
      <c r="B2" s="7" t="s">
        <v>20</v>
      </c>
      <c r="C2" s="7" t="s">
        <v>21</v>
      </c>
      <c r="D2" s="7" t="s">
        <v>3</v>
      </c>
      <c r="E2" s="7" t="s">
        <v>22</v>
      </c>
      <c r="F2" s="7" t="s">
        <v>23</v>
      </c>
      <c r="G2" s="7" t="s">
        <v>4</v>
      </c>
      <c r="H2" s="7"/>
    </row>
    <row r="3" spans="1:8" x14ac:dyDescent="0.3">
      <c r="A3" s="7">
        <v>1</v>
      </c>
      <c r="B3" s="7">
        <v>-0.6</v>
      </c>
      <c r="C3" s="7">
        <v>-0.7</v>
      </c>
      <c r="D3" s="7">
        <f>AVERAGE(B3:C3)</f>
        <v>-0.64999999999999991</v>
      </c>
      <c r="E3" s="7">
        <v>0.6</v>
      </c>
      <c r="F3" s="7">
        <v>0.7</v>
      </c>
      <c r="G3" s="7">
        <f>AVERAGE(E3:F3)</f>
        <v>0.64999999999999991</v>
      </c>
      <c r="H3" s="7">
        <f>G3-D3</f>
        <v>1.2999999999999998</v>
      </c>
    </row>
    <row r="4" spans="1:8" x14ac:dyDescent="0.3">
      <c r="A4" s="7">
        <v>2</v>
      </c>
      <c r="B4" s="7">
        <v>-1.3</v>
      </c>
      <c r="C4" s="7">
        <v>-1.5</v>
      </c>
      <c r="D4" s="7">
        <f t="shared" ref="D4:D10" si="0">AVERAGE(B4:C4)</f>
        <v>-1.4</v>
      </c>
      <c r="E4" s="7">
        <v>1.3</v>
      </c>
      <c r="F4" s="7">
        <v>1.4</v>
      </c>
      <c r="G4" s="7">
        <f t="shared" ref="G4:G10" si="1">AVERAGE(E4:F4)</f>
        <v>1.35</v>
      </c>
      <c r="H4" s="7">
        <f t="shared" ref="H4:H10" si="2">G4-D4</f>
        <v>2.75</v>
      </c>
    </row>
    <row r="5" spans="1:8" x14ac:dyDescent="0.3">
      <c r="A5" s="7">
        <v>3</v>
      </c>
      <c r="B5" s="7">
        <v>-2</v>
      </c>
      <c r="C5" s="7">
        <v>-2.1</v>
      </c>
      <c r="D5" s="7">
        <f t="shared" si="0"/>
        <v>-2.0499999999999998</v>
      </c>
      <c r="E5" s="7">
        <v>2</v>
      </c>
      <c r="F5" s="7">
        <v>2.1</v>
      </c>
      <c r="G5" s="7">
        <f t="shared" si="1"/>
        <v>2.0499999999999998</v>
      </c>
      <c r="H5" s="7">
        <f t="shared" si="2"/>
        <v>4.0999999999999996</v>
      </c>
    </row>
    <row r="6" spans="1:8" x14ac:dyDescent="0.3">
      <c r="A6" s="7">
        <v>4</v>
      </c>
      <c r="B6" s="7">
        <v>-2.6</v>
      </c>
      <c r="C6" s="7">
        <v>-2.8</v>
      </c>
      <c r="D6" s="7">
        <f t="shared" si="0"/>
        <v>-2.7</v>
      </c>
      <c r="E6" s="7">
        <v>2.7</v>
      </c>
      <c r="F6" s="7">
        <v>2.8</v>
      </c>
      <c r="G6" s="7">
        <f t="shared" si="1"/>
        <v>2.75</v>
      </c>
      <c r="H6" s="7">
        <f t="shared" si="2"/>
        <v>5.45</v>
      </c>
    </row>
    <row r="7" spans="1:8" x14ac:dyDescent="0.3">
      <c r="A7" s="7">
        <v>5</v>
      </c>
      <c r="B7" s="10">
        <v>-3.3</v>
      </c>
      <c r="C7" s="10">
        <v>-3.5</v>
      </c>
      <c r="D7" s="7">
        <f t="shared" si="0"/>
        <v>-3.4</v>
      </c>
      <c r="E7" s="10">
        <v>3.3</v>
      </c>
      <c r="F7" s="10">
        <v>3.4</v>
      </c>
      <c r="G7" s="7">
        <f t="shared" si="1"/>
        <v>3.3499999999999996</v>
      </c>
      <c r="H7" s="7">
        <f t="shared" si="2"/>
        <v>6.75</v>
      </c>
    </row>
    <row r="8" spans="1:8" x14ac:dyDescent="0.3">
      <c r="A8" s="7">
        <v>6</v>
      </c>
      <c r="B8" s="10">
        <v>-4</v>
      </c>
      <c r="C8" s="10">
        <v>-4.2</v>
      </c>
      <c r="D8" s="7">
        <f t="shared" si="0"/>
        <v>-4.0999999999999996</v>
      </c>
      <c r="E8" s="10">
        <v>4</v>
      </c>
      <c r="F8" s="10">
        <v>4.0999999999999996</v>
      </c>
      <c r="G8" s="7">
        <f t="shared" si="1"/>
        <v>4.05</v>
      </c>
      <c r="H8" s="7">
        <f t="shared" si="2"/>
        <v>8.1499999999999986</v>
      </c>
    </row>
    <row r="9" spans="1:8" x14ac:dyDescent="0.3">
      <c r="A9" s="7">
        <v>7</v>
      </c>
      <c r="B9" s="10">
        <v>-4.7</v>
      </c>
      <c r="C9" s="10">
        <v>-4.8</v>
      </c>
      <c r="D9" s="7">
        <f t="shared" si="0"/>
        <v>-4.75</v>
      </c>
      <c r="E9" s="10">
        <v>4.7</v>
      </c>
      <c r="F9" s="10">
        <v>4.8</v>
      </c>
      <c r="G9" s="7">
        <f t="shared" si="1"/>
        <v>4.75</v>
      </c>
      <c r="H9" s="7">
        <f t="shared" si="2"/>
        <v>9.5</v>
      </c>
    </row>
    <row r="10" spans="1:8" x14ac:dyDescent="0.3">
      <c r="A10" s="7">
        <v>8</v>
      </c>
      <c r="B10" s="10">
        <v>-5.3</v>
      </c>
      <c r="C10" s="10">
        <v>-5.5</v>
      </c>
      <c r="D10" s="7">
        <f t="shared" si="0"/>
        <v>-5.4</v>
      </c>
      <c r="E10" s="10">
        <v>5.4</v>
      </c>
      <c r="F10" s="10">
        <v>5.5</v>
      </c>
      <c r="G10" s="7">
        <f t="shared" si="1"/>
        <v>5.45</v>
      </c>
      <c r="H10" s="7">
        <f t="shared" si="2"/>
        <v>10.850000000000001</v>
      </c>
    </row>
    <row r="13" spans="1:8" x14ac:dyDescent="0.3">
      <c r="B13" t="s">
        <v>24</v>
      </c>
      <c r="C13">
        <v>1.35773809523809</v>
      </c>
      <c r="E13" t="s">
        <v>25</v>
      </c>
      <c r="F13">
        <f>C13*0.01933/(2*2) * 10^5</f>
        <v>656.12693452380699</v>
      </c>
      <c r="H13">
        <v>1.93333333333339E-2</v>
      </c>
    </row>
  </sheetData>
  <mergeCells count="3">
    <mergeCell ref="B1:D1"/>
    <mergeCell ref="E1:G1"/>
    <mergeCell ref="A1:A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4289-23CB-4781-B244-4D025E38A084}">
  <dimension ref="A1:H17"/>
  <sheetViews>
    <sheetView tabSelected="1" workbookViewId="0">
      <selection activeCell="O9" sqref="O9"/>
    </sheetView>
  </sheetViews>
  <sheetFormatPr defaultRowHeight="14.4" x14ac:dyDescent="0.3"/>
  <sheetData>
    <row r="1" spans="1:8" ht="28.2" customHeight="1" x14ac:dyDescent="0.3">
      <c r="A1" s="5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50</v>
      </c>
    </row>
    <row r="2" spans="1:8" ht="41.4" x14ac:dyDescent="0.3">
      <c r="A2" s="5"/>
      <c r="B2" s="7" t="s">
        <v>20</v>
      </c>
      <c r="C2" s="7" t="s">
        <v>21</v>
      </c>
      <c r="D2" s="7" t="s">
        <v>52</v>
      </c>
      <c r="E2" s="7" t="s">
        <v>22</v>
      </c>
      <c r="F2" s="7" t="s">
        <v>23</v>
      </c>
      <c r="G2" s="7" t="s">
        <v>51</v>
      </c>
      <c r="H2" s="5"/>
    </row>
    <row r="3" spans="1:8" x14ac:dyDescent="0.3">
      <c r="A3" s="7">
        <v>1</v>
      </c>
      <c r="B3" s="7">
        <v>-0.7</v>
      </c>
      <c r="C3" s="7">
        <v>-0.8</v>
      </c>
      <c r="D3" s="7">
        <f>AVERAGE(B3:C3)</f>
        <v>-0.75</v>
      </c>
      <c r="E3" s="7">
        <v>0.6</v>
      </c>
      <c r="F3" s="7">
        <v>0.7</v>
      </c>
      <c r="G3" s="7">
        <f>AVERAGE(E3:F3)</f>
        <v>0.64999999999999991</v>
      </c>
      <c r="H3" s="7">
        <f>G3-D3</f>
        <v>1.4</v>
      </c>
    </row>
    <row r="4" spans="1:8" x14ac:dyDescent="0.3">
      <c r="A4" s="7">
        <v>2</v>
      </c>
      <c r="B4" s="7">
        <v>-1.4</v>
      </c>
      <c r="C4" s="7">
        <v>-1.5</v>
      </c>
      <c r="D4" s="7">
        <f t="shared" ref="D4:D11" si="0">AVERAGE(B4:C4)</f>
        <v>-1.45</v>
      </c>
      <c r="E4" s="7">
        <v>1.5</v>
      </c>
      <c r="F4" s="7">
        <v>1.6</v>
      </c>
      <c r="G4" s="7">
        <f t="shared" ref="G4:G11" si="1">AVERAGE(E4:F4)</f>
        <v>1.55</v>
      </c>
      <c r="H4" s="7">
        <f t="shared" ref="H4:H11" si="2">G4-D4</f>
        <v>3</v>
      </c>
    </row>
    <row r="5" spans="1:8" x14ac:dyDescent="0.3">
      <c r="A5" s="7">
        <v>3</v>
      </c>
      <c r="B5" s="7">
        <v>-2.1</v>
      </c>
      <c r="C5" s="7">
        <v>-2.2999999999999998</v>
      </c>
      <c r="D5" s="7">
        <f t="shared" si="0"/>
        <v>-2.2000000000000002</v>
      </c>
      <c r="E5" s="7">
        <v>2.2000000000000002</v>
      </c>
      <c r="F5" s="7">
        <v>2.2999999999999998</v>
      </c>
      <c r="G5" s="7">
        <f t="shared" si="1"/>
        <v>2.25</v>
      </c>
      <c r="H5" s="7">
        <f t="shared" si="2"/>
        <v>4.45</v>
      </c>
    </row>
    <row r="6" spans="1:8" x14ac:dyDescent="0.3">
      <c r="A6" s="7">
        <v>4</v>
      </c>
      <c r="B6" s="7">
        <v>-2.8</v>
      </c>
      <c r="C6" s="7">
        <v>-3</v>
      </c>
      <c r="D6" s="7">
        <f t="shared" si="0"/>
        <v>-2.9</v>
      </c>
      <c r="E6" s="7">
        <v>2.9</v>
      </c>
      <c r="F6" s="7">
        <v>3.1</v>
      </c>
      <c r="G6" s="7">
        <f t="shared" si="1"/>
        <v>3</v>
      </c>
      <c r="H6" s="7">
        <f t="shared" si="2"/>
        <v>5.9</v>
      </c>
    </row>
    <row r="7" spans="1:8" x14ac:dyDescent="0.3">
      <c r="A7" s="7">
        <v>5</v>
      </c>
      <c r="B7" s="10">
        <v>-3.6</v>
      </c>
      <c r="C7" s="10">
        <v>-3.8</v>
      </c>
      <c r="D7" s="7">
        <f t="shared" si="0"/>
        <v>-3.7</v>
      </c>
      <c r="E7" s="10">
        <v>3.7</v>
      </c>
      <c r="F7" s="10">
        <v>3.9</v>
      </c>
      <c r="G7" s="7">
        <f t="shared" si="1"/>
        <v>3.8</v>
      </c>
      <c r="H7" s="7">
        <f t="shared" si="2"/>
        <v>7.5</v>
      </c>
    </row>
    <row r="8" spans="1:8" x14ac:dyDescent="0.3">
      <c r="A8" s="7">
        <v>6</v>
      </c>
      <c r="B8" s="10">
        <v>-4.4000000000000004</v>
      </c>
      <c r="C8" s="10">
        <v>-4.5999999999999996</v>
      </c>
      <c r="D8" s="7">
        <f t="shared" si="0"/>
        <v>-4.5</v>
      </c>
      <c r="E8" s="10">
        <v>4.4000000000000004</v>
      </c>
      <c r="F8" s="10">
        <v>4.5999999999999996</v>
      </c>
      <c r="G8" s="7">
        <f t="shared" si="1"/>
        <v>4.5</v>
      </c>
      <c r="H8" s="7">
        <f t="shared" si="2"/>
        <v>9</v>
      </c>
    </row>
    <row r="9" spans="1:8" x14ac:dyDescent="0.3">
      <c r="A9" s="7">
        <v>7</v>
      </c>
      <c r="B9" s="10">
        <v>-5.0999999999999996</v>
      </c>
      <c r="C9" s="10">
        <v>-5.3</v>
      </c>
      <c r="D9" s="7">
        <f t="shared" si="0"/>
        <v>-5.1999999999999993</v>
      </c>
      <c r="E9" s="10">
        <v>5.0999999999999996</v>
      </c>
      <c r="F9" s="10">
        <v>5.3</v>
      </c>
      <c r="G9" s="7">
        <f t="shared" si="1"/>
        <v>5.1999999999999993</v>
      </c>
      <c r="H9" s="7">
        <f t="shared" si="2"/>
        <v>10.399999999999999</v>
      </c>
    </row>
    <row r="10" spans="1:8" x14ac:dyDescent="0.3">
      <c r="A10" s="7">
        <v>8</v>
      </c>
      <c r="B10" s="10">
        <v>-5.9</v>
      </c>
      <c r="C10" s="10">
        <v>-6</v>
      </c>
      <c r="D10" s="7">
        <f>AVERAGE(B10:C10)</f>
        <v>-5.95</v>
      </c>
      <c r="E10" s="10">
        <v>5.9</v>
      </c>
      <c r="F10" s="10">
        <v>6.1</v>
      </c>
      <c r="G10" s="7">
        <f t="shared" si="1"/>
        <v>6</v>
      </c>
      <c r="H10" s="7">
        <f t="shared" si="2"/>
        <v>11.95</v>
      </c>
    </row>
    <row r="11" spans="1:8" x14ac:dyDescent="0.3">
      <c r="A11" s="7">
        <v>9</v>
      </c>
      <c r="B11" s="10">
        <v>-6.7</v>
      </c>
      <c r="C11" s="10">
        <v>-6.8</v>
      </c>
      <c r="D11" s="10">
        <f t="shared" si="0"/>
        <v>-6.75</v>
      </c>
      <c r="E11" s="10">
        <v>6.6</v>
      </c>
      <c r="F11" s="10">
        <v>6.8</v>
      </c>
      <c r="G11" s="10">
        <f t="shared" si="1"/>
        <v>6.6999999999999993</v>
      </c>
      <c r="H11" s="10">
        <f t="shared" si="2"/>
        <v>13.45</v>
      </c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5" spans="1:8" x14ac:dyDescent="0.3">
      <c r="B15" t="s">
        <v>26</v>
      </c>
      <c r="C15">
        <v>1.2008333333333301</v>
      </c>
      <c r="E15" t="s">
        <v>27</v>
      </c>
      <c r="F15">
        <f>10^-5 *4*656.126934523807/C16</f>
        <v>1.7487391645090809E-2</v>
      </c>
    </row>
    <row r="16" spans="1:8" x14ac:dyDescent="0.3">
      <c r="C16">
        <v>1.5007999999999999</v>
      </c>
      <c r="E16" t="s">
        <v>28</v>
      </c>
      <c r="F16">
        <v>1.76666666666669E-2</v>
      </c>
    </row>
    <row r="17" spans="5:6" x14ac:dyDescent="0.3">
      <c r="E17" t="s">
        <v>31</v>
      </c>
      <c r="F17">
        <v>1.9300000000000001E-2</v>
      </c>
    </row>
  </sheetData>
  <mergeCells count="4">
    <mergeCell ref="A1:A2"/>
    <mergeCell ref="B1:D1"/>
    <mergeCell ref="E1:G1"/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opLeftCell="F1" workbookViewId="0">
      <selection activeCell="L7" sqref="A1:L10"/>
    </sheetView>
  </sheetViews>
  <sheetFormatPr defaultRowHeight="14.4" x14ac:dyDescent="0.3"/>
  <cols>
    <col min="12" max="12" width="18" customWidth="1"/>
  </cols>
  <sheetData>
    <row r="1" spans="1:12" ht="27.6" customHeight="1" x14ac:dyDescent="0.3">
      <c r="A1" s="15" t="s">
        <v>5</v>
      </c>
      <c r="B1" s="15" t="s">
        <v>6</v>
      </c>
      <c r="C1" s="15" t="s">
        <v>7</v>
      </c>
      <c r="D1" s="15"/>
      <c r="E1" s="15"/>
      <c r="F1" s="15"/>
      <c r="G1" s="15" t="s">
        <v>8</v>
      </c>
      <c r="H1" s="15"/>
      <c r="I1" s="15"/>
      <c r="J1" s="15"/>
      <c r="K1" s="15" t="s">
        <v>33</v>
      </c>
      <c r="L1" s="16" t="s">
        <v>34</v>
      </c>
    </row>
    <row r="2" spans="1:12" x14ac:dyDescent="0.3">
      <c r="A2" s="15"/>
      <c r="B2" s="15"/>
      <c r="C2" s="17" t="s">
        <v>37</v>
      </c>
      <c r="D2" s="17" t="s">
        <v>13</v>
      </c>
      <c r="E2" s="17" t="s">
        <v>38</v>
      </c>
      <c r="F2" s="17" t="s">
        <v>9</v>
      </c>
      <c r="G2" s="17" t="s">
        <v>37</v>
      </c>
      <c r="H2" s="17" t="s">
        <v>13</v>
      </c>
      <c r="I2" s="17" t="s">
        <v>38</v>
      </c>
      <c r="J2" s="17" t="s">
        <v>9</v>
      </c>
      <c r="K2" s="15"/>
      <c r="L2" s="16"/>
    </row>
    <row r="3" spans="1:12" x14ac:dyDescent="0.3">
      <c r="A3" s="18" t="s">
        <v>29</v>
      </c>
      <c r="B3" s="19">
        <v>1</v>
      </c>
      <c r="C3" s="20">
        <v>8.5</v>
      </c>
      <c r="D3" s="20">
        <v>0</v>
      </c>
      <c r="E3" s="20">
        <f>C3+0.001*D3</f>
        <v>8.5</v>
      </c>
      <c r="F3" s="18">
        <f>AVERAGE(E3:E4)</f>
        <v>8.5004999999999988</v>
      </c>
      <c r="G3" s="20">
        <v>8.4499999999999993</v>
      </c>
      <c r="H3" s="20">
        <v>41</v>
      </c>
      <c r="I3" s="20">
        <f>G3+0.001*H3</f>
        <v>8.4909999999999997</v>
      </c>
      <c r="J3" s="18">
        <f>AVERAGE(I3:I4)</f>
        <v>8.4914999999999985</v>
      </c>
      <c r="K3" s="20">
        <f>E3-I3</f>
        <v>9.0000000000003411E-3</v>
      </c>
      <c r="L3" s="23">
        <f>AVERAGE(K3:K6)</f>
        <v>8.9999999999994529E-3</v>
      </c>
    </row>
    <row r="4" spans="1:12" x14ac:dyDescent="0.3">
      <c r="A4" s="18"/>
      <c r="B4" s="19">
        <v>2</v>
      </c>
      <c r="C4" s="20">
        <v>8.5</v>
      </c>
      <c r="D4" s="20">
        <v>1</v>
      </c>
      <c r="E4" s="20">
        <f t="shared" ref="E4:E10" si="0">C4+0.001*D4</f>
        <v>8.5009999999999994</v>
      </c>
      <c r="F4" s="18"/>
      <c r="G4" s="20">
        <v>8.4499999999999993</v>
      </c>
      <c r="H4" s="20">
        <v>42</v>
      </c>
      <c r="I4" s="20">
        <f t="shared" ref="I4:I10" si="1">G4+0.001*H4</f>
        <v>8.4919999999999991</v>
      </c>
      <c r="J4" s="18"/>
      <c r="K4" s="20">
        <f t="shared" ref="K4:K10" si="2">E4-I4</f>
        <v>9.0000000000003411E-3</v>
      </c>
      <c r="L4" s="23"/>
    </row>
    <row r="5" spans="1:12" x14ac:dyDescent="0.3">
      <c r="A5" s="18" t="s">
        <v>30</v>
      </c>
      <c r="B5" s="19">
        <v>1</v>
      </c>
      <c r="C5" s="20">
        <v>8.4499999999999993</v>
      </c>
      <c r="D5" s="20">
        <v>1</v>
      </c>
      <c r="E5" s="20">
        <f t="shared" si="0"/>
        <v>8.4509999999999987</v>
      </c>
      <c r="F5" s="18">
        <f t="shared" ref="F5" si="3">AVERAGE(E5:E6)</f>
        <v>8.4519999999999982</v>
      </c>
      <c r="G5" s="20">
        <v>8.4</v>
      </c>
      <c r="H5" s="20">
        <v>42</v>
      </c>
      <c r="I5" s="20">
        <f t="shared" si="1"/>
        <v>8.4420000000000002</v>
      </c>
      <c r="J5" s="18">
        <f t="shared" ref="J5" si="4">AVERAGE(I5:I6)</f>
        <v>8.4430000000000014</v>
      </c>
      <c r="K5" s="20">
        <f>E5-I5</f>
        <v>8.9999999999985647E-3</v>
      </c>
      <c r="L5" s="23"/>
    </row>
    <row r="6" spans="1:12" x14ac:dyDescent="0.3">
      <c r="A6" s="18"/>
      <c r="B6" s="19">
        <v>2</v>
      </c>
      <c r="C6" s="20">
        <v>8.4499999999999993</v>
      </c>
      <c r="D6" s="20">
        <v>3</v>
      </c>
      <c r="E6" s="20">
        <f t="shared" si="0"/>
        <v>8.4529999999999994</v>
      </c>
      <c r="F6" s="18"/>
      <c r="G6" s="20">
        <v>8.4</v>
      </c>
      <c r="H6" s="20">
        <v>44</v>
      </c>
      <c r="I6" s="20">
        <f t="shared" si="1"/>
        <v>8.4440000000000008</v>
      </c>
      <c r="J6" s="18"/>
      <c r="K6" s="20">
        <f t="shared" si="2"/>
        <v>8.9999999999985647E-3</v>
      </c>
      <c r="L6" s="23"/>
    </row>
    <row r="7" spans="1:12" ht="27.6" customHeight="1" x14ac:dyDescent="0.3">
      <c r="A7" s="18" t="s">
        <v>35</v>
      </c>
      <c r="B7" s="19">
        <v>1</v>
      </c>
      <c r="C7" s="20">
        <v>8.1999999999999993</v>
      </c>
      <c r="D7" s="20">
        <v>6</v>
      </c>
      <c r="E7" s="20">
        <f t="shared" si="0"/>
        <v>8.2059999999999995</v>
      </c>
      <c r="F7" s="18">
        <f t="shared" ref="F7" si="5">AVERAGE(E7:E8)</f>
        <v>8.2055000000000007</v>
      </c>
      <c r="G7" s="20">
        <v>8.15</v>
      </c>
      <c r="H7" s="20">
        <v>28</v>
      </c>
      <c r="I7" s="20">
        <f t="shared" si="1"/>
        <v>8.1780000000000008</v>
      </c>
      <c r="J7" s="18">
        <f t="shared" ref="J7" si="6">AVERAGE(I7:I8)</f>
        <v>8.1769999999999996</v>
      </c>
      <c r="K7" s="20">
        <f t="shared" si="2"/>
        <v>2.7999999999998693E-2</v>
      </c>
      <c r="L7" s="23">
        <f>AVERAGE(K7:K10)</f>
        <v>2.6249999999999218E-2</v>
      </c>
    </row>
    <row r="8" spans="1:12" x14ac:dyDescent="0.3">
      <c r="A8" s="18"/>
      <c r="B8" s="19">
        <v>2</v>
      </c>
      <c r="C8" s="20">
        <v>8.1999999999999993</v>
      </c>
      <c r="D8" s="20">
        <v>5</v>
      </c>
      <c r="E8" s="20">
        <f t="shared" si="0"/>
        <v>8.2050000000000001</v>
      </c>
      <c r="F8" s="18"/>
      <c r="G8" s="20">
        <v>8.15</v>
      </c>
      <c r="H8" s="20">
        <v>26</v>
      </c>
      <c r="I8" s="20">
        <f t="shared" si="1"/>
        <v>8.1760000000000002</v>
      </c>
      <c r="J8" s="18"/>
      <c r="K8" s="20">
        <f t="shared" si="2"/>
        <v>2.8999999999999915E-2</v>
      </c>
      <c r="L8" s="23"/>
    </row>
    <row r="9" spans="1:12" ht="27.6" customHeight="1" x14ac:dyDescent="0.3">
      <c r="A9" s="18" t="s">
        <v>36</v>
      </c>
      <c r="B9" s="19">
        <v>1</v>
      </c>
      <c r="C9" s="20">
        <v>8.15</v>
      </c>
      <c r="D9" s="20">
        <v>45</v>
      </c>
      <c r="E9" s="20">
        <f t="shared" si="0"/>
        <v>8.1950000000000003</v>
      </c>
      <c r="F9" s="18">
        <f t="shared" ref="F9" si="7">AVERAGE(E9:E10)</f>
        <v>8.1939999999999991</v>
      </c>
      <c r="G9" s="20">
        <v>8.15</v>
      </c>
      <c r="H9" s="20">
        <v>21</v>
      </c>
      <c r="I9" s="20">
        <f t="shared" si="1"/>
        <v>8.1710000000000012</v>
      </c>
      <c r="J9" s="18">
        <f t="shared" ref="J9" si="8">AVERAGE(I9:I10)</f>
        <v>8.1700000000000017</v>
      </c>
      <c r="K9" s="20">
        <f t="shared" si="2"/>
        <v>2.3999999999999133E-2</v>
      </c>
      <c r="L9" s="23"/>
    </row>
    <row r="10" spans="1:12" x14ac:dyDescent="0.3">
      <c r="A10" s="18"/>
      <c r="B10" s="19">
        <v>2</v>
      </c>
      <c r="C10" s="20">
        <v>8.15</v>
      </c>
      <c r="D10" s="20">
        <v>43</v>
      </c>
      <c r="E10" s="20">
        <f t="shared" si="0"/>
        <v>8.1929999999999996</v>
      </c>
      <c r="F10" s="18"/>
      <c r="G10" s="20">
        <v>8.15</v>
      </c>
      <c r="H10" s="20">
        <v>19</v>
      </c>
      <c r="I10" s="20">
        <f t="shared" si="1"/>
        <v>8.1690000000000005</v>
      </c>
      <c r="J10" s="18"/>
      <c r="K10" s="20">
        <f t="shared" si="2"/>
        <v>2.3999999999999133E-2</v>
      </c>
      <c r="L10" s="23"/>
    </row>
  </sheetData>
  <mergeCells count="20">
    <mergeCell ref="K1:K2"/>
    <mergeCell ref="L1:L2"/>
    <mergeCell ref="J3:J4"/>
    <mergeCell ref="J5:J6"/>
    <mergeCell ref="J7:J8"/>
    <mergeCell ref="J9:J10"/>
    <mergeCell ref="L3:L6"/>
    <mergeCell ref="L7:L10"/>
    <mergeCell ref="A3:A4"/>
    <mergeCell ref="A5:A6"/>
    <mergeCell ref="A7:A8"/>
    <mergeCell ref="A9:A10"/>
    <mergeCell ref="F3:F4"/>
    <mergeCell ref="F5:F6"/>
    <mergeCell ref="F7:F8"/>
    <mergeCell ref="F9:F10"/>
    <mergeCell ref="A1:A2"/>
    <mergeCell ref="B1:B2"/>
    <mergeCell ref="C1:F1"/>
    <mergeCell ref="G1:J1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A107-9E22-4B61-B174-599B104568F7}">
  <dimension ref="A1:Q24"/>
  <sheetViews>
    <sheetView topLeftCell="L2" workbookViewId="0">
      <selection activeCell="Q13" sqref="Q13"/>
    </sheetView>
  </sheetViews>
  <sheetFormatPr defaultRowHeight="14.4" x14ac:dyDescent="0.3"/>
  <cols>
    <col min="4" max="4" width="14.109375" bestFit="1" customWidth="1"/>
    <col min="7" max="7" width="14.109375" bestFit="1" customWidth="1"/>
    <col min="8" max="8" width="12.6640625" bestFit="1" customWidth="1"/>
    <col min="13" max="13" width="14.109375" bestFit="1" customWidth="1"/>
    <col min="16" max="16" width="14.109375" bestFit="1" customWidth="1"/>
    <col min="17" max="17" width="12.6640625" bestFit="1" customWidth="1"/>
  </cols>
  <sheetData>
    <row r="1" spans="1:17" ht="28.2" customHeight="1" x14ac:dyDescent="0.3">
      <c r="A1" s="5" t="s">
        <v>47</v>
      </c>
      <c r="B1" s="5" t="s">
        <v>1</v>
      </c>
      <c r="C1" s="5"/>
      <c r="D1" s="5"/>
      <c r="E1" s="5" t="s">
        <v>2</v>
      </c>
      <c r="F1" s="5"/>
      <c r="G1" s="5"/>
      <c r="H1" s="5" t="s">
        <v>39</v>
      </c>
      <c r="I1" s="4"/>
      <c r="J1" s="5" t="s">
        <v>48</v>
      </c>
      <c r="K1" s="5" t="s">
        <v>1</v>
      </c>
      <c r="L1" s="5"/>
      <c r="M1" s="5"/>
      <c r="N1" s="5" t="s">
        <v>2</v>
      </c>
      <c r="O1" s="5"/>
      <c r="P1" s="5"/>
      <c r="Q1" s="6" t="s">
        <v>43</v>
      </c>
    </row>
    <row r="2" spans="1:17" ht="55.2" x14ac:dyDescent="0.3">
      <c r="A2" s="5"/>
      <c r="B2" s="6" t="s">
        <v>40</v>
      </c>
      <c r="C2" s="6" t="s">
        <v>41</v>
      </c>
      <c r="D2" s="6" t="s">
        <v>42</v>
      </c>
      <c r="E2" s="6" t="s">
        <v>40</v>
      </c>
      <c r="F2" s="6" t="s">
        <v>41</v>
      </c>
      <c r="G2" s="6" t="s">
        <v>42</v>
      </c>
      <c r="H2" s="5"/>
      <c r="I2" s="4"/>
      <c r="J2" s="5"/>
      <c r="K2" s="6" t="s">
        <v>44</v>
      </c>
      <c r="L2" s="6" t="s">
        <v>45</v>
      </c>
      <c r="M2" s="6" t="s">
        <v>46</v>
      </c>
      <c r="N2" s="6" t="s">
        <v>44</v>
      </c>
      <c r="O2" s="6" t="s">
        <v>45</v>
      </c>
      <c r="P2" s="6" t="s">
        <v>46</v>
      </c>
      <c r="Q2" s="6"/>
    </row>
    <row r="3" spans="1:17" x14ac:dyDescent="0.3">
      <c r="A3" s="8">
        <v>0</v>
      </c>
      <c r="B3" s="7">
        <v>-0.2</v>
      </c>
      <c r="C3" s="7" t="s">
        <v>49</v>
      </c>
      <c r="D3" s="8" t="s">
        <v>49</v>
      </c>
      <c r="E3" s="7">
        <v>0.2</v>
      </c>
      <c r="F3" s="7" t="s">
        <v>49</v>
      </c>
      <c r="G3" s="7" t="s">
        <v>49</v>
      </c>
      <c r="H3" s="22">
        <f>AVERAGE(D4:D24,G4:G23)</f>
        <v>3.3899887063619641E-2</v>
      </c>
      <c r="J3" s="8">
        <v>0</v>
      </c>
      <c r="K3" s="7">
        <v>-1.2</v>
      </c>
      <c r="L3" s="7" t="s">
        <v>49</v>
      </c>
      <c r="M3" s="7" t="s">
        <v>49</v>
      </c>
      <c r="N3" s="7">
        <v>1.2</v>
      </c>
      <c r="O3" s="7" t="s">
        <v>49</v>
      </c>
      <c r="P3" s="7" t="s">
        <v>49</v>
      </c>
      <c r="Q3" s="22">
        <f>AVERAGE(M4:M8,P4:P8)</f>
        <v>1.1629094882085345E-2</v>
      </c>
    </row>
    <row r="4" spans="1:17" x14ac:dyDescent="0.3">
      <c r="A4" s="7">
        <v>1</v>
      </c>
      <c r="B4" s="7">
        <v>-0.6</v>
      </c>
      <c r="C4" s="7">
        <f>ABS(B4+0.2)</f>
        <v>0.39999999999999997</v>
      </c>
      <c r="D4" s="21">
        <f>2*A4*656.127*10^-5/C4</f>
        <v>3.2806350000000005E-2</v>
      </c>
      <c r="E4" s="7">
        <v>0.6</v>
      </c>
      <c r="F4" s="7">
        <f>ABS(E4-0.2)</f>
        <v>0.39999999999999997</v>
      </c>
      <c r="G4" s="21">
        <f>2*A4*656.127*10^-5/F4</f>
        <v>3.2806350000000005E-2</v>
      </c>
      <c r="H4" s="22"/>
      <c r="J4" s="7">
        <v>1</v>
      </c>
      <c r="K4" s="7">
        <v>-2.2999999999999998</v>
      </c>
      <c r="L4" s="8">
        <f>ABS(K4+1.2)</f>
        <v>1.0999999999999999</v>
      </c>
      <c r="M4" s="21">
        <f>2*J4*656.127*10^-5/L4</f>
        <v>1.1929581818181819E-2</v>
      </c>
      <c r="N4" s="7">
        <v>2.2000000000000002</v>
      </c>
      <c r="O4" s="8">
        <f>N4-1.2</f>
        <v>1.0000000000000002</v>
      </c>
      <c r="P4" s="21">
        <f>(2*J4*656.127*10^-5) / O4</f>
        <v>1.3122539999999997E-2</v>
      </c>
      <c r="Q4" s="22"/>
    </row>
    <row r="5" spans="1:17" x14ac:dyDescent="0.3">
      <c r="A5" s="7">
        <v>2</v>
      </c>
      <c r="B5" s="7">
        <v>-1</v>
      </c>
      <c r="C5" s="7">
        <f t="shared" ref="C5:C23" si="0">ABS(B5+0.2)</f>
        <v>0.8</v>
      </c>
      <c r="D5" s="21">
        <f t="shared" ref="D5:D23" si="1">2*A5*656.127*10^-5/C5</f>
        <v>3.2806349999999998E-2</v>
      </c>
      <c r="E5" s="7">
        <v>1</v>
      </c>
      <c r="F5" s="7">
        <f t="shared" ref="F5:F23" si="2">ABS(E5-0.2)</f>
        <v>0.8</v>
      </c>
      <c r="G5" s="21">
        <f t="shared" ref="G5:G23" si="3">2*A5*656.127*10^-5/F5</f>
        <v>3.2806349999999998E-2</v>
      </c>
      <c r="H5" s="22"/>
      <c r="J5" s="7">
        <v>2</v>
      </c>
      <c r="K5" s="7">
        <v>-3.5</v>
      </c>
      <c r="L5" s="8">
        <f t="shared" ref="L5:L8" si="4">ABS(K5+1.2)</f>
        <v>2.2999999999999998</v>
      </c>
      <c r="M5" s="21">
        <f t="shared" ref="M5:M8" si="5">2*J5*656.127*10^-5/L5</f>
        <v>1.1410904347826089E-2</v>
      </c>
      <c r="N5" s="7">
        <v>3.4</v>
      </c>
      <c r="O5" s="8">
        <f t="shared" ref="O5:O8" si="6">N5-1.2</f>
        <v>2.2000000000000002</v>
      </c>
      <c r="P5" s="21">
        <f t="shared" ref="P5:P8" si="7">(2*J5*656.127*10^-5) / O5</f>
        <v>1.1929581818181817E-2</v>
      </c>
      <c r="Q5" s="22"/>
    </row>
    <row r="6" spans="1:17" x14ac:dyDescent="0.3">
      <c r="A6" s="7">
        <v>3</v>
      </c>
      <c r="B6" s="7">
        <v>-1.4</v>
      </c>
      <c r="C6" s="7">
        <f t="shared" si="0"/>
        <v>1.2</v>
      </c>
      <c r="D6" s="21">
        <f t="shared" si="1"/>
        <v>3.2806349999999998E-2</v>
      </c>
      <c r="E6" s="7">
        <v>1.3</v>
      </c>
      <c r="F6" s="7">
        <f t="shared" si="2"/>
        <v>1.1000000000000001</v>
      </c>
      <c r="G6" s="21">
        <f t="shared" si="3"/>
        <v>3.5788745454545454E-2</v>
      </c>
      <c r="H6" s="22"/>
      <c r="J6" s="7">
        <v>3</v>
      </c>
      <c r="K6" s="7">
        <v>-4.7</v>
      </c>
      <c r="L6" s="8">
        <f t="shared" si="4"/>
        <v>3.5</v>
      </c>
      <c r="M6" s="21">
        <f t="shared" si="5"/>
        <v>1.1247891428571428E-2</v>
      </c>
      <c r="N6" s="7">
        <v>4.7</v>
      </c>
      <c r="O6" s="8">
        <f t="shared" si="6"/>
        <v>3.5</v>
      </c>
      <c r="P6" s="21">
        <f t="shared" si="7"/>
        <v>1.1247891428571428E-2</v>
      </c>
      <c r="Q6" s="22"/>
    </row>
    <row r="7" spans="1:17" x14ac:dyDescent="0.3">
      <c r="A7" s="7">
        <v>4</v>
      </c>
      <c r="B7" s="7">
        <v>-1.8</v>
      </c>
      <c r="C7" s="7">
        <f t="shared" si="0"/>
        <v>1.6</v>
      </c>
      <c r="D7" s="21">
        <f t="shared" si="1"/>
        <v>3.2806349999999998E-2</v>
      </c>
      <c r="E7" s="7">
        <v>1.8</v>
      </c>
      <c r="F7" s="7">
        <f t="shared" si="2"/>
        <v>1.6</v>
      </c>
      <c r="G7" s="21">
        <f t="shared" si="3"/>
        <v>3.2806349999999998E-2</v>
      </c>
      <c r="H7" s="22"/>
      <c r="J7" s="7">
        <v>4</v>
      </c>
      <c r="K7" s="7">
        <v>-5.9</v>
      </c>
      <c r="L7" s="8">
        <f t="shared" si="4"/>
        <v>4.7</v>
      </c>
      <c r="M7" s="21">
        <f t="shared" si="5"/>
        <v>1.116811914893617E-2</v>
      </c>
      <c r="N7" s="7">
        <v>5.8</v>
      </c>
      <c r="O7" s="8">
        <f t="shared" si="6"/>
        <v>4.5999999999999996</v>
      </c>
      <c r="P7" s="21">
        <f t="shared" si="7"/>
        <v>1.1410904347826089E-2</v>
      </c>
      <c r="Q7" s="22"/>
    </row>
    <row r="8" spans="1:17" x14ac:dyDescent="0.3">
      <c r="A8" s="7">
        <v>5</v>
      </c>
      <c r="B8" s="10">
        <v>-2.1</v>
      </c>
      <c r="C8" s="7">
        <f t="shared" si="0"/>
        <v>1.9000000000000001</v>
      </c>
      <c r="D8" s="21">
        <f t="shared" si="1"/>
        <v>3.4532999999999994E-2</v>
      </c>
      <c r="E8" s="10">
        <v>2.1</v>
      </c>
      <c r="F8" s="7">
        <f t="shared" si="2"/>
        <v>1.9000000000000001</v>
      </c>
      <c r="G8" s="21">
        <f t="shared" si="3"/>
        <v>3.4532999999999994E-2</v>
      </c>
      <c r="H8" s="22"/>
      <c r="J8" s="7">
        <v>5</v>
      </c>
      <c r="K8" s="10">
        <v>-6.9</v>
      </c>
      <c r="L8" s="8">
        <f t="shared" si="4"/>
        <v>5.7</v>
      </c>
      <c r="M8" s="21">
        <f t="shared" si="5"/>
        <v>1.1510999999999999E-2</v>
      </c>
      <c r="N8" s="10">
        <v>7</v>
      </c>
      <c r="O8" s="8">
        <f t="shared" si="6"/>
        <v>5.8</v>
      </c>
      <c r="P8" s="21">
        <f t="shared" si="7"/>
        <v>1.131253448275862E-2</v>
      </c>
      <c r="Q8" s="22"/>
    </row>
    <row r="9" spans="1:17" x14ac:dyDescent="0.3">
      <c r="A9" s="7">
        <v>6</v>
      </c>
      <c r="B9" s="10">
        <v>-2.4</v>
      </c>
      <c r="C9" s="7">
        <f t="shared" si="0"/>
        <v>2.1999999999999997</v>
      </c>
      <c r="D9" s="21">
        <f t="shared" si="1"/>
        <v>3.5788745454545461E-2</v>
      </c>
      <c r="E9" s="10">
        <v>2.4</v>
      </c>
      <c r="F9" s="7">
        <f t="shared" si="2"/>
        <v>2.1999999999999997</v>
      </c>
      <c r="G9" s="21">
        <f t="shared" si="3"/>
        <v>3.5788745454545461E-2</v>
      </c>
      <c r="H9" s="22"/>
      <c r="J9" s="1"/>
      <c r="K9" s="3"/>
      <c r="L9" s="2"/>
      <c r="M9" s="1"/>
      <c r="N9" s="2"/>
      <c r="O9" s="2"/>
      <c r="P9" s="2"/>
      <c r="Q9" s="2"/>
    </row>
    <row r="10" spans="1:17" x14ac:dyDescent="0.3">
      <c r="A10" s="7">
        <v>7</v>
      </c>
      <c r="B10" s="10">
        <v>-2.9</v>
      </c>
      <c r="C10" s="7">
        <f t="shared" si="0"/>
        <v>2.6999999999999997</v>
      </c>
      <c r="D10" s="21">
        <f t="shared" si="1"/>
        <v>3.40214E-2</v>
      </c>
      <c r="E10" s="10">
        <v>2.9</v>
      </c>
      <c r="F10" s="7">
        <f t="shared" si="2"/>
        <v>2.6999999999999997</v>
      </c>
      <c r="G10" s="21">
        <f t="shared" si="3"/>
        <v>3.40214E-2</v>
      </c>
      <c r="H10" s="22"/>
    </row>
    <row r="11" spans="1:17" x14ac:dyDescent="0.3">
      <c r="A11" s="7">
        <v>8</v>
      </c>
      <c r="B11" s="10">
        <v>-3.4</v>
      </c>
      <c r="C11" s="7">
        <f t="shared" si="0"/>
        <v>3.1999999999999997</v>
      </c>
      <c r="D11" s="21">
        <f t="shared" si="1"/>
        <v>3.2806350000000005E-2</v>
      </c>
      <c r="E11" s="10">
        <v>3.2</v>
      </c>
      <c r="F11" s="7">
        <f t="shared" si="2"/>
        <v>3</v>
      </c>
      <c r="G11" s="21">
        <f t="shared" si="3"/>
        <v>3.4993440000000001E-2</v>
      </c>
      <c r="H11" s="22"/>
    </row>
    <row r="12" spans="1:17" x14ac:dyDescent="0.3">
      <c r="A12" s="7">
        <v>9</v>
      </c>
      <c r="B12" s="10">
        <v>-3.6</v>
      </c>
      <c r="C12" s="7">
        <f t="shared" si="0"/>
        <v>3.4</v>
      </c>
      <c r="D12" s="21">
        <f t="shared" si="1"/>
        <v>3.4736135294117648E-2</v>
      </c>
      <c r="E12" s="10">
        <v>3.6</v>
      </c>
      <c r="F12" s="7">
        <f t="shared" si="2"/>
        <v>3.4</v>
      </c>
      <c r="G12" s="21">
        <f t="shared" si="3"/>
        <v>3.4736135294117648E-2</v>
      </c>
      <c r="H12" s="22"/>
      <c r="Q12">
        <f>_xlfn.STDEV.P(P4:P8)</f>
        <v>7.0137513940856928E-4</v>
      </c>
    </row>
    <row r="13" spans="1:17" x14ac:dyDescent="0.3">
      <c r="A13" s="7">
        <v>10</v>
      </c>
      <c r="B13" s="10">
        <v>-4.0999999999999996</v>
      </c>
      <c r="C13" s="7">
        <f t="shared" si="0"/>
        <v>3.8999999999999995</v>
      </c>
      <c r="D13" s="21">
        <f t="shared" si="1"/>
        <v>3.3647538461538465E-2</v>
      </c>
      <c r="E13" s="10">
        <v>4</v>
      </c>
      <c r="F13" s="7">
        <f t="shared" si="2"/>
        <v>3.8</v>
      </c>
      <c r="G13" s="21">
        <f t="shared" si="3"/>
        <v>3.4533000000000001E-2</v>
      </c>
      <c r="H13" s="22"/>
      <c r="J13">
        <f>_xlfn.STDEV.P(G4:G23)</f>
        <v>8.2266746723338665E-4</v>
      </c>
    </row>
    <row r="14" spans="1:17" x14ac:dyDescent="0.3">
      <c r="A14" s="7">
        <v>11</v>
      </c>
      <c r="B14" s="10">
        <v>-4.4000000000000004</v>
      </c>
      <c r="C14" s="7">
        <f t="shared" si="0"/>
        <v>4.2</v>
      </c>
      <c r="D14" s="21">
        <f t="shared" si="1"/>
        <v>3.4368557142857137E-2</v>
      </c>
      <c r="E14" s="10">
        <v>4.5</v>
      </c>
      <c r="F14" s="7">
        <f t="shared" si="2"/>
        <v>4.3</v>
      </c>
      <c r="G14" s="21">
        <f t="shared" si="3"/>
        <v>3.3569288372093019E-2</v>
      </c>
      <c r="H14" s="22"/>
    </row>
    <row r="15" spans="1:17" x14ac:dyDescent="0.3">
      <c r="A15" s="7">
        <v>12</v>
      </c>
      <c r="B15" s="10">
        <v>-4.9000000000000004</v>
      </c>
      <c r="C15" s="7">
        <f t="shared" si="0"/>
        <v>4.7</v>
      </c>
      <c r="D15" s="21">
        <f t="shared" si="1"/>
        <v>3.3504357446808505E-2</v>
      </c>
      <c r="E15" s="10">
        <v>4.8</v>
      </c>
      <c r="F15" s="7">
        <f t="shared" si="2"/>
        <v>4.5999999999999996</v>
      </c>
      <c r="G15" s="21">
        <f t="shared" si="3"/>
        <v>3.4232713043478261E-2</v>
      </c>
      <c r="H15" s="22"/>
    </row>
    <row r="16" spans="1:17" x14ac:dyDescent="0.3">
      <c r="A16" s="7">
        <v>13</v>
      </c>
      <c r="B16" s="10">
        <v>-5.3</v>
      </c>
      <c r="C16" s="7">
        <f t="shared" si="0"/>
        <v>5.0999999999999996</v>
      </c>
      <c r="D16" s="21">
        <f t="shared" si="1"/>
        <v>3.3449611764705886E-2</v>
      </c>
      <c r="E16" s="10">
        <v>5.2</v>
      </c>
      <c r="F16" s="7">
        <f t="shared" si="2"/>
        <v>5</v>
      </c>
      <c r="G16" s="21">
        <f t="shared" si="3"/>
        <v>3.4118604000000004E-2</v>
      </c>
      <c r="H16" s="22"/>
    </row>
    <row r="17" spans="1:8" x14ac:dyDescent="0.3">
      <c r="A17" s="7">
        <v>14</v>
      </c>
      <c r="B17" s="10">
        <v>-5.8</v>
      </c>
      <c r="C17" s="7">
        <f t="shared" si="0"/>
        <v>5.6</v>
      </c>
      <c r="D17" s="21">
        <f t="shared" si="1"/>
        <v>3.2806349999999998E-2</v>
      </c>
      <c r="E17" s="10">
        <v>5.6</v>
      </c>
      <c r="F17" s="7">
        <f t="shared" si="2"/>
        <v>5.3999999999999995</v>
      </c>
      <c r="G17" s="21">
        <f t="shared" si="3"/>
        <v>3.40214E-2</v>
      </c>
      <c r="H17" s="22"/>
    </row>
    <row r="18" spans="1:8" x14ac:dyDescent="0.3">
      <c r="A18" s="7">
        <v>15</v>
      </c>
      <c r="B18" s="10">
        <v>-6</v>
      </c>
      <c r="C18" s="7">
        <f t="shared" si="0"/>
        <v>5.8</v>
      </c>
      <c r="D18" s="21">
        <f t="shared" si="1"/>
        <v>3.3937603448275858E-2</v>
      </c>
      <c r="E18" s="10">
        <v>5.9</v>
      </c>
      <c r="F18" s="7">
        <f t="shared" si="2"/>
        <v>5.7</v>
      </c>
      <c r="G18" s="21">
        <f t="shared" si="3"/>
        <v>3.4532999999999994E-2</v>
      </c>
      <c r="H18" s="22"/>
    </row>
    <row r="19" spans="1:8" x14ac:dyDescent="0.3">
      <c r="A19" s="7">
        <v>16</v>
      </c>
      <c r="B19" s="10">
        <v>-6.5</v>
      </c>
      <c r="C19" s="7">
        <f t="shared" si="0"/>
        <v>6.3</v>
      </c>
      <c r="D19" s="21">
        <f t="shared" si="1"/>
        <v>3.3327085714285713E-2</v>
      </c>
      <c r="E19" s="10">
        <v>6.5</v>
      </c>
      <c r="F19" s="7">
        <f t="shared" si="2"/>
        <v>6.3</v>
      </c>
      <c r="G19" s="21">
        <f t="shared" si="3"/>
        <v>3.3327085714285713E-2</v>
      </c>
      <c r="H19" s="22"/>
    </row>
    <row r="20" spans="1:8" x14ac:dyDescent="0.3">
      <c r="A20" s="7">
        <v>17</v>
      </c>
      <c r="B20" s="10">
        <v>-6.8</v>
      </c>
      <c r="C20" s="7">
        <f t="shared" si="0"/>
        <v>6.6</v>
      </c>
      <c r="D20" s="21">
        <f t="shared" si="1"/>
        <v>3.3800481818181821E-2</v>
      </c>
      <c r="E20" s="10">
        <v>6.7</v>
      </c>
      <c r="F20" s="7">
        <f t="shared" si="2"/>
        <v>6.5</v>
      </c>
      <c r="G20" s="21">
        <f t="shared" si="3"/>
        <v>3.4320489230769233E-2</v>
      </c>
      <c r="H20" s="22"/>
    </row>
    <row r="21" spans="1:8" x14ac:dyDescent="0.3">
      <c r="A21" s="7">
        <v>18</v>
      </c>
      <c r="B21" s="10">
        <v>-7.1</v>
      </c>
      <c r="C21" s="7">
        <f t="shared" si="0"/>
        <v>6.8999999999999995</v>
      </c>
      <c r="D21" s="21">
        <f t="shared" si="1"/>
        <v>3.4232713043478268E-2</v>
      </c>
      <c r="E21" s="10">
        <v>7.2</v>
      </c>
      <c r="F21" s="7">
        <f t="shared" si="2"/>
        <v>7</v>
      </c>
      <c r="G21" s="21">
        <f t="shared" si="3"/>
        <v>3.3743674285714287E-2</v>
      </c>
      <c r="H21" s="22"/>
    </row>
    <row r="22" spans="1:8" x14ac:dyDescent="0.3">
      <c r="A22" s="7">
        <v>19</v>
      </c>
      <c r="B22" s="10">
        <v>-7.7</v>
      </c>
      <c r="C22" s="7">
        <f t="shared" si="0"/>
        <v>7.5</v>
      </c>
      <c r="D22" s="21">
        <f t="shared" si="1"/>
        <v>3.3243768E-2</v>
      </c>
      <c r="E22" s="10">
        <v>7.5</v>
      </c>
      <c r="F22" s="7">
        <f t="shared" si="2"/>
        <v>7.3</v>
      </c>
      <c r="G22" s="21">
        <f t="shared" si="3"/>
        <v>3.4154556164383565E-2</v>
      </c>
      <c r="H22" s="22"/>
    </row>
    <row r="23" spans="1:8" x14ac:dyDescent="0.3">
      <c r="A23" s="7">
        <v>20</v>
      </c>
      <c r="B23" s="10">
        <v>-8</v>
      </c>
      <c r="C23" s="7">
        <f t="shared" si="0"/>
        <v>7.8</v>
      </c>
      <c r="D23" s="21">
        <f t="shared" si="1"/>
        <v>3.3647538461538458E-2</v>
      </c>
      <c r="E23" s="10">
        <v>7.9</v>
      </c>
      <c r="F23" s="7">
        <f t="shared" si="2"/>
        <v>7.7</v>
      </c>
      <c r="G23" s="21">
        <f t="shared" si="3"/>
        <v>3.4084519480519479E-2</v>
      </c>
      <c r="H23" s="22"/>
    </row>
    <row r="24" spans="1:8" x14ac:dyDescent="0.3">
      <c r="A24" s="1"/>
      <c r="B24" s="3"/>
      <c r="C24" s="1"/>
      <c r="D24" s="1"/>
      <c r="E24" s="2"/>
      <c r="F24" s="2"/>
      <c r="G24" s="2"/>
      <c r="H24" s="11"/>
    </row>
  </sheetData>
  <mergeCells count="9">
    <mergeCell ref="N1:P1"/>
    <mergeCell ref="Q3:Q8"/>
    <mergeCell ref="H3:H23"/>
    <mergeCell ref="A1:A2"/>
    <mergeCell ref="B1:D1"/>
    <mergeCell ref="E1:G1"/>
    <mergeCell ref="H1:H2"/>
    <mergeCell ref="J1:J2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slit width and wire thickness</vt:lpstr>
      <vt:lpstr>single slit diffraction</vt:lpstr>
      <vt:lpstr>babinets principle</vt:lpstr>
      <vt:lpstr>double slit width</vt:lpstr>
      <vt:lpstr>double slit diffraction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2025-11-08T19:28:22Z</dcterms:modified>
</cp:coreProperties>
</file>
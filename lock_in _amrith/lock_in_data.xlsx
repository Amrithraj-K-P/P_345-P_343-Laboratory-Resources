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CER.DESKTOP-AET6VDV\Desktop\sem 5\optics lab\P_345-P_343-Laboratory-Resources\lock_in _amrith\"/>
    </mc:Choice>
  </mc:AlternateContent>
  <xr:revisionPtr revIDLastSave="0" documentId="13_ncr:1_{AA82FEF6-C30E-4065-AA4D-A44994151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" sheetId="1" r:id="rId1"/>
    <sheet name="Mutual Inductance" sheetId="2" r:id="rId2"/>
    <sheet name="Resist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1" l="1"/>
  <c r="R19" i="1"/>
  <c r="W15" i="3"/>
  <c r="W13" i="3"/>
  <c r="S4" i="2"/>
  <c r="V14" i="1"/>
  <c r="T14" i="1"/>
  <c r="R13" i="1"/>
  <c r="R14" i="1"/>
  <c r="R15" i="1"/>
  <c r="R16" i="1"/>
  <c r="R12" i="1"/>
  <c r="S3" i="2"/>
  <c r="Y6" i="1"/>
  <c r="AC5" i="3"/>
  <c r="V5" i="3"/>
  <c r="V6" i="3"/>
  <c r="V7" i="3"/>
  <c r="V8" i="3"/>
  <c r="V9" i="3"/>
  <c r="U6" i="3"/>
  <c r="U7" i="3"/>
  <c r="U8" i="3"/>
  <c r="U9" i="3"/>
  <c r="U5" i="3"/>
  <c r="AB5" i="3"/>
  <c r="AB6" i="3"/>
  <c r="AC6" i="3" s="1"/>
  <c r="AB7" i="3"/>
  <c r="AC7" i="3" s="1"/>
  <c r="AB8" i="3"/>
  <c r="AC8" i="3" s="1"/>
  <c r="AB9" i="3"/>
  <c r="AC9" i="3" s="1"/>
  <c r="N24" i="3"/>
  <c r="N23" i="3"/>
  <c r="N22" i="3"/>
  <c r="N21" i="3"/>
  <c r="N20" i="3"/>
  <c r="N19" i="3"/>
  <c r="N18" i="3"/>
  <c r="N17" i="3"/>
  <c r="N16" i="3"/>
  <c r="K24" i="3"/>
  <c r="K23" i="3"/>
  <c r="K22" i="3"/>
  <c r="K21" i="3"/>
  <c r="K20" i="3"/>
  <c r="K19" i="3"/>
  <c r="K18" i="3"/>
  <c r="K17" i="3"/>
  <c r="K16" i="3"/>
  <c r="H24" i="3"/>
  <c r="H23" i="3"/>
  <c r="H22" i="3"/>
  <c r="H21" i="3"/>
  <c r="H20" i="3"/>
  <c r="H19" i="3"/>
  <c r="H18" i="3"/>
  <c r="H17" i="3"/>
  <c r="H16" i="3"/>
  <c r="E24" i="3"/>
  <c r="E23" i="3"/>
  <c r="E22" i="3"/>
  <c r="E21" i="3"/>
  <c r="E20" i="3"/>
  <c r="E19" i="3"/>
  <c r="E18" i="3"/>
  <c r="E17" i="3"/>
  <c r="E16" i="3"/>
  <c r="B23" i="3"/>
  <c r="B24" i="3"/>
  <c r="B22" i="3"/>
  <c r="B21" i="3"/>
  <c r="B20" i="3"/>
  <c r="B19" i="3"/>
  <c r="B18" i="3"/>
  <c r="B17" i="3"/>
  <c r="B16" i="3"/>
  <c r="N10" i="3"/>
  <c r="N9" i="3"/>
  <c r="N8" i="3"/>
  <c r="N7" i="3"/>
  <c r="N6" i="3"/>
  <c r="N5" i="3"/>
  <c r="N4" i="3"/>
  <c r="K10" i="3"/>
  <c r="K9" i="3"/>
  <c r="K8" i="3"/>
  <c r="K7" i="3"/>
  <c r="K6" i="3"/>
  <c r="K5" i="3"/>
  <c r="K4" i="3"/>
  <c r="H10" i="3"/>
  <c r="H9" i="3"/>
  <c r="H8" i="3"/>
  <c r="H7" i="3"/>
  <c r="H6" i="3"/>
  <c r="H5" i="3"/>
  <c r="H4" i="3"/>
  <c r="E10" i="3"/>
  <c r="E9" i="3"/>
  <c r="E8" i="3"/>
  <c r="E7" i="3"/>
  <c r="E6" i="3"/>
  <c r="E5" i="3"/>
  <c r="E4" i="3"/>
  <c r="B5" i="3"/>
  <c r="B6" i="3"/>
  <c r="B7" i="3"/>
  <c r="B8" i="3"/>
  <c r="B9" i="3"/>
  <c r="B10" i="3"/>
  <c r="B4" i="3"/>
  <c r="K8" i="2"/>
  <c r="K7" i="2"/>
  <c r="K6" i="2"/>
  <c r="K5" i="2"/>
  <c r="K4" i="2"/>
  <c r="H8" i="2"/>
  <c r="H7" i="2"/>
  <c r="H6" i="2"/>
  <c r="H5" i="2"/>
  <c r="H4" i="2"/>
  <c r="E8" i="2"/>
  <c r="E7" i="2"/>
  <c r="E6" i="2"/>
  <c r="E5" i="2"/>
  <c r="E4" i="2"/>
  <c r="B5" i="2"/>
  <c r="B6" i="2"/>
  <c r="B7" i="2"/>
  <c r="B8" i="2"/>
  <c r="B4" i="2"/>
  <c r="N27" i="1"/>
  <c r="N26" i="1"/>
  <c r="N25" i="1"/>
  <c r="N24" i="1"/>
  <c r="N23" i="1"/>
  <c r="N22" i="1"/>
  <c r="N21" i="1"/>
  <c r="N20" i="1"/>
  <c r="N19" i="1"/>
  <c r="K27" i="1"/>
  <c r="K26" i="1"/>
  <c r="K25" i="1"/>
  <c r="K24" i="1"/>
  <c r="K23" i="1"/>
  <c r="K22" i="1"/>
  <c r="K21" i="1"/>
  <c r="K20" i="1"/>
  <c r="K19" i="1"/>
  <c r="H27" i="1"/>
  <c r="H26" i="1"/>
  <c r="H25" i="1"/>
  <c r="H24" i="1"/>
  <c r="H23" i="1"/>
  <c r="H22" i="1"/>
  <c r="H21" i="1"/>
  <c r="H20" i="1"/>
  <c r="H19" i="1"/>
  <c r="E27" i="1"/>
  <c r="E26" i="1"/>
  <c r="E25" i="1"/>
  <c r="E24" i="1"/>
  <c r="E23" i="1"/>
  <c r="E22" i="1"/>
  <c r="E21" i="1"/>
  <c r="E20" i="1"/>
  <c r="E19" i="1"/>
  <c r="B27" i="1"/>
  <c r="B26" i="1"/>
  <c r="B25" i="1"/>
  <c r="B24" i="1"/>
  <c r="B23" i="1"/>
  <c r="B22" i="1"/>
  <c r="B21" i="1"/>
  <c r="B20" i="1"/>
  <c r="B19" i="1"/>
  <c r="N13" i="1"/>
  <c r="N12" i="1"/>
  <c r="N11" i="1"/>
  <c r="N10" i="1"/>
  <c r="N9" i="1"/>
  <c r="N8" i="1"/>
  <c r="N7" i="1"/>
  <c r="N6" i="1"/>
  <c r="N5" i="1"/>
  <c r="K11" i="1"/>
  <c r="K12" i="1"/>
  <c r="K13" i="1"/>
  <c r="K10" i="1"/>
  <c r="K9" i="1"/>
  <c r="K8" i="1"/>
  <c r="K7" i="1"/>
  <c r="K6" i="1"/>
  <c r="K5" i="1"/>
  <c r="H10" i="1"/>
  <c r="H9" i="1"/>
  <c r="H8" i="1"/>
  <c r="H7" i="1"/>
  <c r="H6" i="1"/>
  <c r="H5" i="1"/>
  <c r="E10" i="1"/>
  <c r="E9" i="1"/>
  <c r="E8" i="1"/>
  <c r="E7" i="1"/>
  <c r="E6" i="1"/>
  <c r="E5" i="1"/>
  <c r="B6" i="1"/>
  <c r="B7" i="1"/>
  <c r="B8" i="1"/>
  <c r="B9" i="1"/>
  <c r="B10" i="1"/>
  <c r="B5" i="1"/>
</calcChain>
</file>

<file path=xl/sharedStrings.xml><?xml version="1.0" encoding="utf-8"?>
<sst xmlns="http://schemas.openxmlformats.org/spreadsheetml/2006/main" count="153" uniqueCount="24">
  <si>
    <t xml:space="preserve">Gain = 50 </t>
  </si>
  <si>
    <t>Vac​ (V)</t>
  </si>
  <si>
    <t>Vdc​ (V)</t>
  </si>
  <si>
    <t>gain = 100</t>
  </si>
  <si>
    <t>Gain = 100</t>
  </si>
  <si>
    <t>Gain = 50</t>
  </si>
  <si>
    <t>Frequency (Hz)</t>
  </si>
  <si>
    <t>Vsig (rms) (V)​</t>
  </si>
  <si>
    <t>f=</t>
  </si>
  <si>
    <t>300Hz</t>
  </si>
  <si>
    <t>600Hz</t>
  </si>
  <si>
    <t>1200Hz</t>
  </si>
  <si>
    <t>1500Hz</t>
  </si>
  <si>
    <t>-</t>
  </si>
  <si>
    <t>Amplification factor($\mu$)</t>
  </si>
  <si>
    <t>Error in $\mu$</t>
  </si>
  <si>
    <t xml:space="preserve">Slope </t>
  </si>
  <si>
    <t>Slope Error</t>
  </si>
  <si>
    <t xml:space="preserve">  Equation: y = 0.000023x + -0.0003
  Slope (m)      : 0.000023 ± 0.000001
  Intercept (c)  : -0.0003 ± 0.0002</t>
  </si>
  <si>
    <t>Error in r</t>
  </si>
  <si>
    <t>900Hz</t>
  </si>
  <si>
    <t>err</t>
  </si>
  <si>
    <t>r</t>
  </si>
  <si>
    <t xml:space="preserve">Slope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</si>
</sst>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1" formatCode="0.00000000"/>
  </numFmts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1"/>
    </xf>
    <xf numFmtId="2" fontId="1" fillId="0" borderId="1" xfId="0" applyNumberFormat="1" applyFont="1" applyBorder="1" applyAlignment="1">
      <alignment horizontal="left" vertical="center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168" fontId="0" fillId="0" borderId="2" xfId="0" applyNumberFormat="1" applyBorder="1"/>
    <xf numFmtId="168" fontId="1" fillId="0" borderId="2" xfId="0" applyNumberFormat="1" applyFont="1" applyBorder="1" applyAlignment="1">
      <alignment horizontal="left" vertical="center" wrapText="1" indent="1" readingOrder="1"/>
    </xf>
    <xf numFmtId="168" fontId="1" fillId="0" borderId="2" xfId="0" applyNumberFormat="1" applyFont="1" applyFill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0" fillId="0" borderId="2" xfId="0" applyBorder="1"/>
    <xf numFmtId="0" fontId="2" fillId="0" borderId="2" xfId="0" applyFont="1" applyBorder="1" applyAlignment="1">
      <alignment horizontal="left" vertical="center" wrapText="1" indent="1" readingOrder="1"/>
    </xf>
    <xf numFmtId="2" fontId="0" fillId="0" borderId="0" xfId="0" applyNumberFormat="1"/>
    <xf numFmtId="171" fontId="0" fillId="0" borderId="0" xfId="0" applyNumberFormat="1"/>
    <xf numFmtId="2" fontId="1" fillId="0" borderId="3" xfId="0" applyNumberFormat="1" applyFont="1" applyBorder="1" applyAlignment="1">
      <alignment horizontal="left" vertical="center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left" vertical="center" readingOrder="1"/>
    </xf>
    <xf numFmtId="168" fontId="1" fillId="0" borderId="2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topLeftCell="N1" workbookViewId="0">
      <selection activeCell="U20" sqref="U20"/>
    </sheetView>
  </sheetViews>
  <sheetFormatPr defaultRowHeight="14.4" x14ac:dyDescent="0.3"/>
  <cols>
    <col min="2" max="2" width="14.109375" bestFit="1" customWidth="1"/>
    <col min="3" max="3" width="9.5546875" bestFit="1" customWidth="1"/>
    <col min="5" max="6" width="14.109375" bestFit="1" customWidth="1"/>
    <col min="8" max="8" width="14.21875" bestFit="1" customWidth="1"/>
    <col min="9" max="9" width="9.5546875" bestFit="1" customWidth="1"/>
    <col min="10" max="11" width="14.109375" bestFit="1" customWidth="1"/>
    <col min="12" max="12" width="9.5546875" bestFit="1" customWidth="1"/>
    <col min="14" max="14" width="14.21875" bestFit="1" customWidth="1"/>
    <col min="15" max="15" width="9.5546875" bestFit="1" customWidth="1"/>
    <col min="17" max="17" width="15.88671875" bestFit="1" customWidth="1"/>
    <col min="18" max="18" width="11.5546875" bestFit="1" customWidth="1"/>
    <col min="19" max="19" width="15.109375" bestFit="1" customWidth="1"/>
    <col min="21" max="21" width="15.88671875" bestFit="1" customWidth="1"/>
    <col min="22" max="22" width="10.33203125" bestFit="1" customWidth="1"/>
    <col min="23" max="23" width="15.109375" bestFit="1" customWidth="1"/>
  </cols>
  <sheetData>
    <row r="1" spans="1:25" x14ac:dyDescent="0.3">
      <c r="A1" t="s">
        <v>0</v>
      </c>
    </row>
    <row r="2" spans="1:25" x14ac:dyDescent="0.3">
      <c r="A2" t="s">
        <v>8</v>
      </c>
    </row>
    <row r="3" spans="1:25" ht="15" thickBot="1" x14ac:dyDescent="0.35">
      <c r="A3" s="11" t="s">
        <v>9</v>
      </c>
      <c r="B3" s="11"/>
      <c r="C3" s="11"/>
      <c r="D3" s="11" t="s">
        <v>10</v>
      </c>
      <c r="E3" s="11"/>
      <c r="F3" s="11"/>
      <c r="G3" s="11" t="s">
        <v>20</v>
      </c>
      <c r="H3" s="11"/>
      <c r="I3" s="11"/>
      <c r="J3" s="11" t="s">
        <v>11</v>
      </c>
      <c r="K3" s="11"/>
      <c r="L3" s="11"/>
      <c r="M3" s="11" t="s">
        <v>12</v>
      </c>
      <c r="N3" s="11"/>
      <c r="O3" s="11"/>
      <c r="Q3">
        <v>50</v>
      </c>
      <c r="U3">
        <v>100</v>
      </c>
    </row>
    <row r="4" spans="1:25" ht="15" thickBot="1" x14ac:dyDescent="0.35">
      <c r="A4" s="12" t="s">
        <v>1</v>
      </c>
      <c r="B4" s="12" t="s">
        <v>7</v>
      </c>
      <c r="C4" s="12" t="s">
        <v>2</v>
      </c>
      <c r="D4" s="12" t="s">
        <v>1</v>
      </c>
      <c r="E4" s="12" t="s">
        <v>7</v>
      </c>
      <c r="F4" s="12" t="s">
        <v>2</v>
      </c>
      <c r="G4" s="12" t="s">
        <v>1</v>
      </c>
      <c r="H4" s="12" t="s">
        <v>7</v>
      </c>
      <c r="I4" s="12" t="s">
        <v>2</v>
      </c>
      <c r="J4" s="12" t="s">
        <v>1</v>
      </c>
      <c r="K4" s="12" t="s">
        <v>7</v>
      </c>
      <c r="L4" s="12" t="s">
        <v>2</v>
      </c>
      <c r="M4" s="12" t="s">
        <v>1</v>
      </c>
      <c r="N4" s="12" t="s">
        <v>7</v>
      </c>
      <c r="O4" s="12" t="s">
        <v>2</v>
      </c>
      <c r="Q4" s="2" t="s">
        <v>6</v>
      </c>
      <c r="R4" s="2" t="s">
        <v>14</v>
      </c>
      <c r="S4" s="2" t="s">
        <v>15</v>
      </c>
      <c r="T4" s="3"/>
      <c r="U4" s="2" t="s">
        <v>6</v>
      </c>
      <c r="V4" s="2" t="s">
        <v>14</v>
      </c>
      <c r="W4" s="2" t="s">
        <v>15</v>
      </c>
    </row>
    <row r="5" spans="1:25" ht="15" thickBot="1" x14ac:dyDescent="0.35">
      <c r="A5" s="13">
        <v>1</v>
      </c>
      <c r="B5" s="14">
        <f>A5*0.0025</f>
        <v>2.5000000000000001E-3</v>
      </c>
      <c r="C5" s="15">
        <v>9.7000000000000003E-2</v>
      </c>
      <c r="D5" s="13">
        <v>1</v>
      </c>
      <c r="E5" s="14">
        <f>D5*0.0025</f>
        <v>2.5000000000000001E-3</v>
      </c>
      <c r="F5" s="15">
        <v>0.1</v>
      </c>
      <c r="G5" s="13">
        <v>1</v>
      </c>
      <c r="H5" s="14">
        <f>G5*0.0025</f>
        <v>2.5000000000000001E-3</v>
      </c>
      <c r="I5" s="15">
        <v>0.10199999999999999</v>
      </c>
      <c r="J5" s="13">
        <v>1</v>
      </c>
      <c r="K5" s="14">
        <f>J5*0.0025</f>
        <v>2.5000000000000001E-3</v>
      </c>
      <c r="L5" s="15">
        <v>0.10100000000000001</v>
      </c>
      <c r="M5" s="13">
        <v>1</v>
      </c>
      <c r="N5" s="14">
        <f>M5*0.0025</f>
        <v>2.5000000000000001E-3</v>
      </c>
      <c r="O5" s="15">
        <v>0.10100000000000001</v>
      </c>
      <c r="Q5" s="4">
        <v>300</v>
      </c>
      <c r="R5" s="5">
        <v>39.382899999999999</v>
      </c>
      <c r="S5" s="5">
        <v>7.7483000000000004</v>
      </c>
      <c r="T5" s="3"/>
      <c r="U5" s="4">
        <v>300</v>
      </c>
      <c r="V5" s="5">
        <v>106.86669999999999</v>
      </c>
      <c r="W5" s="5">
        <v>6.2797999999999998</v>
      </c>
    </row>
    <row r="6" spans="1:25" ht="15" thickBot="1" x14ac:dyDescent="0.35">
      <c r="A6" s="13">
        <v>1.5</v>
      </c>
      <c r="B6" s="14">
        <f t="shared" ref="B6:B10" si="0">A6*0.0025</f>
        <v>3.7499999999999999E-3</v>
      </c>
      <c r="C6" s="15">
        <v>0.123</v>
      </c>
      <c r="D6" s="13">
        <v>1.5</v>
      </c>
      <c r="E6" s="14">
        <f t="shared" ref="E6:E10" si="1">D6*0.0025</f>
        <v>3.7499999999999999E-3</v>
      </c>
      <c r="F6" s="15">
        <v>0.188</v>
      </c>
      <c r="G6" s="13">
        <v>1.5</v>
      </c>
      <c r="H6" s="14">
        <f t="shared" ref="H6:H10" si="2">G6*0.0025</f>
        <v>3.7499999999999999E-3</v>
      </c>
      <c r="I6" s="15">
        <v>0.192</v>
      </c>
      <c r="J6" s="13">
        <v>1.5</v>
      </c>
      <c r="K6" s="14">
        <f t="shared" ref="K6:K13" si="3">J6*0.0025</f>
        <v>3.7499999999999999E-3</v>
      </c>
      <c r="L6" s="15">
        <v>0.186</v>
      </c>
      <c r="M6" s="13">
        <v>1.5</v>
      </c>
      <c r="N6" s="14">
        <f t="shared" ref="N6:N13" si="4">M6*0.0025</f>
        <v>3.7499999999999999E-3</v>
      </c>
      <c r="O6" s="15">
        <v>0.188</v>
      </c>
      <c r="Q6" s="4">
        <v>600</v>
      </c>
      <c r="R6" s="5">
        <v>49.531399999999998</v>
      </c>
      <c r="S6" s="5">
        <v>5.2697000000000003</v>
      </c>
      <c r="T6" s="3"/>
      <c r="U6" s="4">
        <v>600</v>
      </c>
      <c r="V6" s="5">
        <v>108.4933</v>
      </c>
      <c r="W6" s="5">
        <v>5.9721000000000002</v>
      </c>
      <c r="Y6" s="20">
        <f>AVERAGE(V5:V9)</f>
        <v>107.63734000000002</v>
      </c>
    </row>
    <row r="7" spans="1:25" ht="15" thickBot="1" x14ac:dyDescent="0.35">
      <c r="A7" s="13">
        <v>2</v>
      </c>
      <c r="B7" s="14">
        <f t="shared" si="0"/>
        <v>5.0000000000000001E-3</v>
      </c>
      <c r="C7" s="15">
        <v>0.27700000000000002</v>
      </c>
      <c r="D7" s="13">
        <v>2</v>
      </c>
      <c r="E7" s="14">
        <f t="shared" si="1"/>
        <v>5.0000000000000001E-3</v>
      </c>
      <c r="F7" s="15">
        <v>0.27700000000000002</v>
      </c>
      <c r="G7" s="13">
        <v>2</v>
      </c>
      <c r="H7" s="14">
        <f t="shared" si="2"/>
        <v>5.0000000000000001E-3</v>
      </c>
      <c r="I7" s="15">
        <v>0.28499999999999998</v>
      </c>
      <c r="J7" s="13">
        <v>2</v>
      </c>
      <c r="K7" s="14">
        <f t="shared" si="3"/>
        <v>5.0000000000000001E-3</v>
      </c>
      <c r="L7" s="15">
        <v>0.27900000000000003</v>
      </c>
      <c r="M7" s="13">
        <v>2</v>
      </c>
      <c r="N7" s="14">
        <f t="shared" si="4"/>
        <v>5.0000000000000001E-3</v>
      </c>
      <c r="O7" s="15">
        <v>0.27900000000000003</v>
      </c>
      <c r="Q7" s="4">
        <v>900</v>
      </c>
      <c r="R7" s="5">
        <v>48.16</v>
      </c>
      <c r="S7" s="5">
        <v>6.4512999999999998</v>
      </c>
      <c r="T7" s="3"/>
      <c r="U7" s="4">
        <v>900</v>
      </c>
      <c r="V7" s="5">
        <v>107.6267</v>
      </c>
      <c r="W7" s="5">
        <v>5.8578999999999999</v>
      </c>
    </row>
    <row r="8" spans="1:25" ht="15" thickBot="1" x14ac:dyDescent="0.35">
      <c r="A8" s="13">
        <v>2.5</v>
      </c>
      <c r="B8" s="14">
        <f t="shared" si="0"/>
        <v>6.2500000000000003E-3</v>
      </c>
      <c r="C8" s="15">
        <v>0.26</v>
      </c>
      <c r="D8" s="13">
        <v>2.5</v>
      </c>
      <c r="E8" s="14">
        <f t="shared" si="1"/>
        <v>6.2500000000000003E-3</v>
      </c>
      <c r="F8" s="15">
        <v>0.27</v>
      </c>
      <c r="G8" s="13">
        <v>2.5</v>
      </c>
      <c r="H8" s="14">
        <f t="shared" si="2"/>
        <v>6.2500000000000003E-3</v>
      </c>
      <c r="I8" s="15">
        <v>0.25800000000000001</v>
      </c>
      <c r="J8" s="13">
        <v>2.5</v>
      </c>
      <c r="K8" s="14">
        <f t="shared" si="3"/>
        <v>6.2500000000000003E-3</v>
      </c>
      <c r="L8" s="15">
        <v>0.26400000000000001</v>
      </c>
      <c r="M8" s="13">
        <v>2.5</v>
      </c>
      <c r="N8" s="14">
        <f t="shared" si="4"/>
        <v>6.2500000000000003E-3</v>
      </c>
      <c r="O8" s="15">
        <v>0.254</v>
      </c>
      <c r="Q8" s="4">
        <v>1200</v>
      </c>
      <c r="R8" s="5">
        <v>55.146700000000003</v>
      </c>
      <c r="S8" s="5">
        <v>3.0415999999999999</v>
      </c>
      <c r="T8" s="3"/>
      <c r="U8" s="4">
        <v>1200</v>
      </c>
      <c r="V8" s="5">
        <v>106.8267</v>
      </c>
      <c r="W8" s="5">
        <v>5.6691000000000003</v>
      </c>
    </row>
    <row r="9" spans="1:25" ht="15" thickBot="1" x14ac:dyDescent="0.35">
      <c r="A9" s="13">
        <v>3</v>
      </c>
      <c r="B9" s="14">
        <f t="shared" si="0"/>
        <v>7.4999999999999997E-3</v>
      </c>
      <c r="C9" s="16">
        <v>0.30299999999999999</v>
      </c>
      <c r="D9" s="13">
        <v>3</v>
      </c>
      <c r="E9" s="14">
        <f t="shared" si="1"/>
        <v>7.4999999999999997E-3</v>
      </c>
      <c r="F9" s="15">
        <v>0.35099999999999998</v>
      </c>
      <c r="G9" s="13">
        <v>3</v>
      </c>
      <c r="H9" s="14">
        <f t="shared" si="2"/>
        <v>7.4999999999999997E-3</v>
      </c>
      <c r="I9" s="15">
        <v>0.35</v>
      </c>
      <c r="J9" s="13">
        <v>3</v>
      </c>
      <c r="K9" s="14">
        <f t="shared" si="3"/>
        <v>7.4999999999999997E-3</v>
      </c>
      <c r="L9" s="15">
        <v>0.34</v>
      </c>
      <c r="M9" s="13">
        <v>3</v>
      </c>
      <c r="N9" s="14">
        <f t="shared" si="4"/>
        <v>7.4999999999999997E-3</v>
      </c>
      <c r="O9" s="15">
        <v>0.33900000000000002</v>
      </c>
      <c r="Q9" s="4">
        <v>1500</v>
      </c>
      <c r="R9" s="5">
        <v>55.453299999999999</v>
      </c>
      <c r="S9" s="5">
        <v>3.3155999999999999</v>
      </c>
      <c r="T9" s="3"/>
      <c r="U9" s="4">
        <v>1500</v>
      </c>
      <c r="V9" s="5">
        <v>108.3733</v>
      </c>
      <c r="W9" s="5">
        <v>6.2995000000000001</v>
      </c>
    </row>
    <row r="10" spans="1:25" x14ac:dyDescent="0.3">
      <c r="A10" s="17">
        <v>3.5</v>
      </c>
      <c r="B10" s="14">
        <f t="shared" si="0"/>
        <v>8.7500000000000008E-3</v>
      </c>
      <c r="C10" s="15">
        <v>0.33700000000000002</v>
      </c>
      <c r="D10" s="13">
        <v>3.5</v>
      </c>
      <c r="E10" s="14">
        <f t="shared" si="1"/>
        <v>8.7500000000000008E-3</v>
      </c>
      <c r="F10" s="15">
        <v>0.437</v>
      </c>
      <c r="G10" s="13">
        <v>3.5</v>
      </c>
      <c r="H10" s="14">
        <f t="shared" si="2"/>
        <v>8.7500000000000008E-3</v>
      </c>
      <c r="I10" s="15">
        <v>0.434</v>
      </c>
      <c r="J10" s="13">
        <v>3.5</v>
      </c>
      <c r="K10" s="14">
        <f t="shared" si="3"/>
        <v>8.7500000000000008E-3</v>
      </c>
      <c r="L10" s="15">
        <v>0.42699999999999999</v>
      </c>
      <c r="M10" s="13">
        <v>3.5</v>
      </c>
      <c r="N10" s="14">
        <f t="shared" si="4"/>
        <v>8.7500000000000008E-3</v>
      </c>
      <c r="O10" s="15">
        <v>0.42799999999999999</v>
      </c>
    </row>
    <row r="11" spans="1:25" x14ac:dyDescent="0.3">
      <c r="A11" s="18" t="s">
        <v>13</v>
      </c>
      <c r="B11" s="18" t="s">
        <v>13</v>
      </c>
      <c r="C11" s="18" t="s">
        <v>13</v>
      </c>
      <c r="D11" s="18" t="s">
        <v>13</v>
      </c>
      <c r="E11" s="14" t="s">
        <v>13</v>
      </c>
      <c r="F11" s="18" t="s">
        <v>13</v>
      </c>
      <c r="G11" s="18" t="s">
        <v>13</v>
      </c>
      <c r="H11" s="18" t="s">
        <v>13</v>
      </c>
      <c r="I11" s="18" t="s">
        <v>13</v>
      </c>
      <c r="J11" s="13">
        <v>4</v>
      </c>
      <c r="K11" s="14">
        <f>J11*0.0025</f>
        <v>0.01</v>
      </c>
      <c r="L11" s="15">
        <v>0.50700000000000001</v>
      </c>
      <c r="M11" s="13">
        <v>4</v>
      </c>
      <c r="N11" s="14">
        <f>M11*0.0025</f>
        <v>0.01</v>
      </c>
      <c r="O11" s="15">
        <v>0.51100000000000001</v>
      </c>
    </row>
    <row r="12" spans="1:25" x14ac:dyDescent="0.3">
      <c r="A12" s="18" t="s">
        <v>13</v>
      </c>
      <c r="B12" s="18" t="s">
        <v>13</v>
      </c>
      <c r="C12" s="18" t="s">
        <v>13</v>
      </c>
      <c r="D12" s="18" t="s">
        <v>13</v>
      </c>
      <c r="E12" s="18" t="s">
        <v>13</v>
      </c>
      <c r="F12" s="18" t="s">
        <v>13</v>
      </c>
      <c r="G12" s="18" t="s">
        <v>13</v>
      </c>
      <c r="H12" s="18" t="s">
        <v>13</v>
      </c>
      <c r="I12" s="18" t="s">
        <v>13</v>
      </c>
      <c r="J12" s="13">
        <v>4.5</v>
      </c>
      <c r="K12" s="14">
        <f t="shared" si="3"/>
        <v>1.125E-2</v>
      </c>
      <c r="L12" s="15">
        <v>0.59699999999999998</v>
      </c>
      <c r="M12" s="13">
        <v>4.5</v>
      </c>
      <c r="N12" s="14">
        <f t="shared" si="4"/>
        <v>1.125E-2</v>
      </c>
      <c r="O12" s="15">
        <v>0.59499999999999997</v>
      </c>
      <c r="R12" s="21">
        <f>S5^2</f>
        <v>60.036152890000004</v>
      </c>
    </row>
    <row r="13" spans="1:25" x14ac:dyDescent="0.3">
      <c r="A13" s="18" t="s">
        <v>13</v>
      </c>
      <c r="B13" s="18" t="s">
        <v>13</v>
      </c>
      <c r="C13" s="18" t="s">
        <v>13</v>
      </c>
      <c r="D13" s="18" t="s">
        <v>13</v>
      </c>
      <c r="E13" s="18" t="s">
        <v>13</v>
      </c>
      <c r="F13" s="18" t="s">
        <v>13</v>
      </c>
      <c r="G13" s="18" t="s">
        <v>13</v>
      </c>
      <c r="H13" s="18" t="s">
        <v>13</v>
      </c>
      <c r="I13" s="18" t="s">
        <v>13</v>
      </c>
      <c r="J13" s="13">
        <v>5</v>
      </c>
      <c r="K13" s="14">
        <f t="shared" si="3"/>
        <v>1.2500000000000001E-2</v>
      </c>
      <c r="L13" s="15">
        <v>0.67200000000000004</v>
      </c>
      <c r="M13" s="13">
        <v>5</v>
      </c>
      <c r="N13" s="14">
        <f t="shared" si="4"/>
        <v>1.2500000000000001E-2</v>
      </c>
      <c r="O13" s="15">
        <v>0.67600000000000005</v>
      </c>
      <c r="R13" s="21">
        <f>S6^2</f>
        <v>27.769738090000004</v>
      </c>
    </row>
    <row r="14" spans="1:25" x14ac:dyDescent="0.3">
      <c r="R14" s="21">
        <f t="shared" ref="R13:R16" si="5">S7^2</f>
        <v>41.619271689999998</v>
      </c>
      <c r="T14">
        <f>SQRT(SUM(R12:R16))/4</f>
        <v>3.0584891755366734</v>
      </c>
      <c r="V14" s="20">
        <f>AVERAGE(W5:W9)</f>
        <v>6.0156800000000006</v>
      </c>
    </row>
    <row r="15" spans="1:25" x14ac:dyDescent="0.3">
      <c r="R15" s="21">
        <f t="shared" si="5"/>
        <v>9.2513305599999995</v>
      </c>
    </row>
    <row r="16" spans="1:25" x14ac:dyDescent="0.3">
      <c r="A16" t="s">
        <v>3</v>
      </c>
      <c r="R16" s="21">
        <f t="shared" si="5"/>
        <v>10.993203359999999</v>
      </c>
    </row>
    <row r="17" spans="1:21" x14ac:dyDescent="0.3">
      <c r="A17" s="11" t="s">
        <v>9</v>
      </c>
      <c r="B17" s="11"/>
      <c r="C17" s="11"/>
      <c r="D17" s="11" t="s">
        <v>10</v>
      </c>
      <c r="E17" s="11"/>
      <c r="F17" s="11"/>
      <c r="G17" s="11" t="s">
        <v>20</v>
      </c>
      <c r="H17" s="11"/>
      <c r="I17" s="11"/>
      <c r="J17" s="11" t="s">
        <v>11</v>
      </c>
      <c r="K17" s="11"/>
      <c r="L17" s="11"/>
      <c r="M17" s="11" t="s">
        <v>12</v>
      </c>
      <c r="N17" s="11"/>
      <c r="O17" s="11"/>
    </row>
    <row r="18" spans="1:21" x14ac:dyDescent="0.3">
      <c r="A18" s="12" t="s">
        <v>1</v>
      </c>
      <c r="B18" s="12" t="s">
        <v>7</v>
      </c>
      <c r="C18" s="12" t="s">
        <v>2</v>
      </c>
      <c r="D18" s="12" t="s">
        <v>1</v>
      </c>
      <c r="E18" s="12" t="s">
        <v>7</v>
      </c>
      <c r="F18" s="12" t="s">
        <v>2</v>
      </c>
      <c r="G18" s="12" t="s">
        <v>1</v>
      </c>
      <c r="H18" s="12" t="s">
        <v>7</v>
      </c>
      <c r="I18" s="12" t="s">
        <v>2</v>
      </c>
      <c r="J18" s="12" t="s">
        <v>1</v>
      </c>
      <c r="K18" s="12" t="s">
        <v>7</v>
      </c>
      <c r="L18" s="12" t="s">
        <v>2</v>
      </c>
      <c r="M18" s="12" t="s">
        <v>1</v>
      </c>
      <c r="N18" s="12" t="s">
        <v>7</v>
      </c>
      <c r="O18" s="12" t="s">
        <v>2</v>
      </c>
      <c r="P18" s="1"/>
    </row>
    <row r="19" spans="1:21" x14ac:dyDescent="0.3">
      <c r="A19" s="13">
        <v>1</v>
      </c>
      <c r="B19" s="14">
        <f>A19*0.0025</f>
        <v>2.5000000000000001E-3</v>
      </c>
      <c r="C19" s="15">
        <v>0.255</v>
      </c>
      <c r="D19" s="13">
        <v>1</v>
      </c>
      <c r="E19" s="14">
        <f>D19*0.0025</f>
        <v>2.5000000000000001E-3</v>
      </c>
      <c r="F19" s="15">
        <v>0.25</v>
      </c>
      <c r="G19" s="13">
        <v>1</v>
      </c>
      <c r="H19" s="14">
        <f>G19*0.0025</f>
        <v>2.5000000000000001E-3</v>
      </c>
      <c r="I19" s="15">
        <v>0.248</v>
      </c>
      <c r="J19" s="13">
        <v>1</v>
      </c>
      <c r="K19" s="14">
        <f>J19*0.0025</f>
        <v>2.5000000000000001E-3</v>
      </c>
      <c r="L19" s="15">
        <v>0.251</v>
      </c>
      <c r="M19" s="13">
        <v>1</v>
      </c>
      <c r="N19" s="14">
        <f>M19*0.0025</f>
        <v>2.5000000000000001E-3</v>
      </c>
      <c r="O19" s="15">
        <v>0.247</v>
      </c>
      <c r="R19" s="20">
        <f>AVERAGE(R5:R9)</f>
        <v>49.534860000000002</v>
      </c>
      <c r="U19" s="20">
        <f>AVERAGE(V5:V9)</f>
        <v>107.63734000000002</v>
      </c>
    </row>
    <row r="20" spans="1:21" x14ac:dyDescent="0.3">
      <c r="A20" s="13">
        <v>1.5</v>
      </c>
      <c r="B20" s="14">
        <f t="shared" ref="B20:B27" si="6">A20*0.0025</f>
        <v>3.7499999999999999E-3</v>
      </c>
      <c r="C20" s="15">
        <v>0.40200000000000002</v>
      </c>
      <c r="D20" s="13">
        <v>1.5</v>
      </c>
      <c r="E20" s="14">
        <f t="shared" ref="E20:E27" si="7">D20*0.0025</f>
        <v>3.7499999999999999E-3</v>
      </c>
      <c r="F20" s="15">
        <v>0.42299999999999999</v>
      </c>
      <c r="G20" s="13">
        <v>1.5</v>
      </c>
      <c r="H20" s="14">
        <f t="shared" ref="H20:H27" si="8">G20*0.0025</f>
        <v>3.7499999999999999E-3</v>
      </c>
      <c r="I20" s="15">
        <v>0.42099999999999999</v>
      </c>
      <c r="J20" s="13">
        <v>1.5</v>
      </c>
      <c r="K20" s="14">
        <f t="shared" ref="K20:K27" si="9">J20*0.0025</f>
        <v>3.7499999999999999E-3</v>
      </c>
      <c r="L20" s="15">
        <v>0.40200000000000002</v>
      </c>
      <c r="M20" s="13">
        <v>1.5</v>
      </c>
      <c r="N20" s="14">
        <f t="shared" ref="N20:N27" si="10">M20*0.0025</f>
        <v>3.7499999999999999E-3</v>
      </c>
      <c r="O20" s="15">
        <v>0.41799999999999998</v>
      </c>
    </row>
    <row r="21" spans="1:21" x14ac:dyDescent="0.3">
      <c r="A21" s="13">
        <v>2</v>
      </c>
      <c r="B21" s="14">
        <f t="shared" si="6"/>
        <v>5.0000000000000001E-3</v>
      </c>
      <c r="C21" s="15">
        <v>0.60499999999999998</v>
      </c>
      <c r="D21" s="13">
        <v>2</v>
      </c>
      <c r="E21" s="14">
        <f t="shared" si="7"/>
        <v>5.0000000000000001E-3</v>
      </c>
      <c r="F21" s="15">
        <v>0.59799999999999998</v>
      </c>
      <c r="G21" s="13">
        <v>2</v>
      </c>
      <c r="H21" s="14">
        <f t="shared" si="8"/>
        <v>5.0000000000000001E-3</v>
      </c>
      <c r="I21" s="15">
        <v>0.59599999999999997</v>
      </c>
      <c r="J21" s="13">
        <v>2</v>
      </c>
      <c r="K21" s="14">
        <f t="shared" si="9"/>
        <v>5.0000000000000001E-3</v>
      </c>
      <c r="L21" s="15">
        <v>0.59799999999999998</v>
      </c>
      <c r="M21" s="13">
        <v>2</v>
      </c>
      <c r="N21" s="14">
        <f t="shared" si="10"/>
        <v>5.0000000000000001E-3</v>
      </c>
      <c r="O21" s="15">
        <v>0.59599999999999997</v>
      </c>
    </row>
    <row r="22" spans="1:21" x14ac:dyDescent="0.3">
      <c r="A22" s="13">
        <v>2.5</v>
      </c>
      <c r="B22" s="14">
        <f t="shared" si="6"/>
        <v>6.2500000000000003E-3</v>
      </c>
      <c r="C22" s="15">
        <v>0.54900000000000004</v>
      </c>
      <c r="D22" s="13">
        <v>2.5</v>
      </c>
      <c r="E22" s="14">
        <f t="shared" si="7"/>
        <v>6.2500000000000003E-3</v>
      </c>
      <c r="F22" s="15">
        <v>0.57599999999999996</v>
      </c>
      <c r="G22" s="13">
        <v>2.5</v>
      </c>
      <c r="H22" s="14">
        <f t="shared" si="8"/>
        <v>6.2500000000000003E-3</v>
      </c>
      <c r="I22" s="15">
        <v>0.56599999999999995</v>
      </c>
      <c r="J22" s="13">
        <v>2.5</v>
      </c>
      <c r="K22" s="14">
        <f t="shared" si="9"/>
        <v>6.2500000000000003E-3</v>
      </c>
      <c r="L22" s="15">
        <v>0.56699999999999995</v>
      </c>
      <c r="M22" s="13">
        <v>2.5</v>
      </c>
      <c r="N22" s="14">
        <f t="shared" si="10"/>
        <v>6.2500000000000003E-3</v>
      </c>
      <c r="O22" s="15">
        <v>0.54700000000000004</v>
      </c>
    </row>
    <row r="23" spans="1:21" x14ac:dyDescent="0.3">
      <c r="A23" s="13">
        <v>3</v>
      </c>
      <c r="B23" s="14">
        <f t="shared" si="6"/>
        <v>7.4999999999999997E-3</v>
      </c>
      <c r="C23" s="15">
        <v>0.71499999999999997</v>
      </c>
      <c r="D23" s="13">
        <v>3</v>
      </c>
      <c r="E23" s="14">
        <f t="shared" si="7"/>
        <v>7.4999999999999997E-3</v>
      </c>
      <c r="F23" s="15">
        <v>0.71899999999999997</v>
      </c>
      <c r="G23" s="13">
        <v>3</v>
      </c>
      <c r="H23" s="14">
        <f t="shared" si="8"/>
        <v>7.4999999999999997E-3</v>
      </c>
      <c r="I23" s="15">
        <v>0.72099999999999997</v>
      </c>
      <c r="J23" s="13">
        <v>3</v>
      </c>
      <c r="K23" s="14">
        <f t="shared" si="9"/>
        <v>7.4999999999999997E-3</v>
      </c>
      <c r="L23" s="15">
        <v>0.71499999999999997</v>
      </c>
      <c r="M23" s="13">
        <v>3</v>
      </c>
      <c r="N23" s="14">
        <f t="shared" si="10"/>
        <v>7.4999999999999997E-3</v>
      </c>
      <c r="O23" s="15">
        <v>0.71899999999999997</v>
      </c>
    </row>
    <row r="24" spans="1:21" x14ac:dyDescent="0.3">
      <c r="A24" s="13">
        <v>3.5</v>
      </c>
      <c r="B24" s="14">
        <f t="shared" si="6"/>
        <v>8.7500000000000008E-3</v>
      </c>
      <c r="C24" s="15">
        <v>0.88500000000000001</v>
      </c>
      <c r="D24" s="13">
        <v>3.5</v>
      </c>
      <c r="E24" s="14">
        <f t="shared" si="7"/>
        <v>8.7500000000000008E-3</v>
      </c>
      <c r="F24" s="15">
        <v>0.88400000000000001</v>
      </c>
      <c r="G24" s="13">
        <v>3.5</v>
      </c>
      <c r="H24" s="14">
        <f t="shared" si="8"/>
        <v>8.7500000000000008E-3</v>
      </c>
      <c r="I24" s="15">
        <v>0.88600000000000001</v>
      </c>
      <c r="J24" s="13">
        <v>3.5</v>
      </c>
      <c r="K24" s="14">
        <f t="shared" si="9"/>
        <v>8.7500000000000008E-3</v>
      </c>
      <c r="L24" s="15">
        <v>0.88500000000000001</v>
      </c>
      <c r="M24" s="13">
        <v>3.5</v>
      </c>
      <c r="N24" s="14">
        <f t="shared" si="10"/>
        <v>8.7500000000000008E-3</v>
      </c>
      <c r="O24" s="15">
        <v>0.89300000000000002</v>
      </c>
    </row>
    <row r="25" spans="1:21" x14ac:dyDescent="0.3">
      <c r="A25" s="13">
        <v>4</v>
      </c>
      <c r="B25" s="14">
        <f>A25*0.0025</f>
        <v>0.01</v>
      </c>
      <c r="C25" s="15">
        <v>1.042</v>
      </c>
      <c r="D25" s="13">
        <v>4</v>
      </c>
      <c r="E25" s="14">
        <f>D25*0.0025</f>
        <v>0.01</v>
      </c>
      <c r="F25" s="15">
        <v>1.06</v>
      </c>
      <c r="G25" s="13">
        <v>4</v>
      </c>
      <c r="H25" s="14">
        <f>G25*0.0025</f>
        <v>0.01</v>
      </c>
      <c r="I25" s="15">
        <v>1.0569999999999999</v>
      </c>
      <c r="J25" s="13">
        <v>4</v>
      </c>
      <c r="K25" s="14">
        <f>J25*0.0025</f>
        <v>0.01</v>
      </c>
      <c r="L25" s="15">
        <v>1.042</v>
      </c>
      <c r="M25" s="13">
        <v>4</v>
      </c>
      <c r="N25" s="14">
        <f>M25*0.0025</f>
        <v>0.01</v>
      </c>
      <c r="O25" s="15">
        <v>1.052</v>
      </c>
    </row>
    <row r="26" spans="1:21" x14ac:dyDescent="0.3">
      <c r="A26" s="13">
        <v>4.5</v>
      </c>
      <c r="B26" s="14">
        <f t="shared" si="6"/>
        <v>1.125E-2</v>
      </c>
      <c r="C26" s="15">
        <v>1.2010000000000001</v>
      </c>
      <c r="D26" s="13">
        <v>4.5</v>
      </c>
      <c r="E26" s="14">
        <f t="shared" si="7"/>
        <v>1.125E-2</v>
      </c>
      <c r="F26" s="15">
        <v>1.222</v>
      </c>
      <c r="G26" s="13">
        <v>4.5</v>
      </c>
      <c r="H26" s="14">
        <f t="shared" si="8"/>
        <v>1.125E-2</v>
      </c>
      <c r="I26" s="15">
        <v>1.2070000000000001</v>
      </c>
      <c r="J26" s="13">
        <v>4.5</v>
      </c>
      <c r="K26" s="14">
        <f t="shared" si="9"/>
        <v>1.125E-2</v>
      </c>
      <c r="L26" s="15">
        <v>1.212</v>
      </c>
      <c r="M26" s="13">
        <v>4.5</v>
      </c>
      <c r="N26" s="14">
        <f t="shared" si="10"/>
        <v>1.125E-2</v>
      </c>
      <c r="O26" s="15">
        <v>1.216</v>
      </c>
    </row>
    <row r="27" spans="1:21" x14ac:dyDescent="0.3">
      <c r="A27" s="13">
        <v>5</v>
      </c>
      <c r="B27" s="14">
        <f t="shared" si="6"/>
        <v>1.2500000000000001E-2</v>
      </c>
      <c r="C27" s="15">
        <v>1.357</v>
      </c>
      <c r="D27" s="13">
        <v>5</v>
      </c>
      <c r="E27" s="14">
        <f t="shared" si="7"/>
        <v>1.2500000000000001E-2</v>
      </c>
      <c r="F27" s="15">
        <v>1.377</v>
      </c>
      <c r="G27" s="13">
        <v>5</v>
      </c>
      <c r="H27" s="14">
        <f t="shared" si="8"/>
        <v>1.2500000000000001E-2</v>
      </c>
      <c r="I27" s="15">
        <v>1.3660000000000001</v>
      </c>
      <c r="J27" s="13">
        <v>5</v>
      </c>
      <c r="K27" s="14">
        <f t="shared" si="9"/>
        <v>1.2500000000000001E-2</v>
      </c>
      <c r="L27" s="15">
        <v>1.345</v>
      </c>
      <c r="M27" s="13">
        <v>5</v>
      </c>
      <c r="N27" s="14">
        <f t="shared" si="10"/>
        <v>1.2500000000000001E-2</v>
      </c>
      <c r="O27" s="15">
        <v>1.3660000000000001</v>
      </c>
    </row>
  </sheetData>
  <mergeCells count="10">
    <mergeCell ref="A3:C3"/>
    <mergeCell ref="D3:F3"/>
    <mergeCell ref="G3:I3"/>
    <mergeCell ref="J3:L3"/>
    <mergeCell ref="M3:O3"/>
    <mergeCell ref="A17:C17"/>
    <mergeCell ref="D17:F17"/>
    <mergeCell ref="G17:I17"/>
    <mergeCell ref="J17:L17"/>
    <mergeCell ref="M17:O1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F981-CC8C-4D59-A461-85FC7D72A061}">
  <dimension ref="A1:S12"/>
  <sheetViews>
    <sheetView topLeftCell="G1" workbookViewId="0">
      <selection activeCell="S4" sqref="S4"/>
    </sheetView>
  </sheetViews>
  <sheetFormatPr defaultRowHeight="14.4" x14ac:dyDescent="0.3"/>
  <cols>
    <col min="16" max="16" width="9.5546875" bestFit="1" customWidth="1"/>
    <col min="17" max="17" width="17.5546875" customWidth="1"/>
    <col min="19" max="19" width="61.109375" customWidth="1"/>
    <col min="20" max="20" width="9.5546875" bestFit="1" customWidth="1"/>
  </cols>
  <sheetData>
    <row r="1" spans="1:19" x14ac:dyDescent="0.3">
      <c r="A1" t="s">
        <v>4</v>
      </c>
    </row>
    <row r="2" spans="1:19" ht="15" thickBot="1" x14ac:dyDescent="0.35">
      <c r="A2" s="11" t="s">
        <v>10</v>
      </c>
      <c r="B2" s="11"/>
      <c r="C2" s="11"/>
      <c r="D2" s="11" t="s">
        <v>20</v>
      </c>
      <c r="E2" s="11"/>
      <c r="F2" s="11"/>
      <c r="G2" s="11" t="s">
        <v>11</v>
      </c>
      <c r="H2" s="11"/>
      <c r="I2" s="11"/>
      <c r="J2" s="11" t="s">
        <v>12</v>
      </c>
      <c r="K2" s="11"/>
      <c r="L2" s="11"/>
      <c r="O2">
        <v>100</v>
      </c>
    </row>
    <row r="3" spans="1:19" ht="15" thickBot="1" x14ac:dyDescent="0.35">
      <c r="A3" s="12" t="s">
        <v>1</v>
      </c>
      <c r="B3" s="12" t="s">
        <v>7</v>
      </c>
      <c r="C3" s="12" t="s">
        <v>2</v>
      </c>
      <c r="D3" s="12" t="s">
        <v>1</v>
      </c>
      <c r="E3" s="12" t="s">
        <v>7</v>
      </c>
      <c r="F3" s="12" t="s">
        <v>2</v>
      </c>
      <c r="G3" s="12" t="s">
        <v>1</v>
      </c>
      <c r="H3" s="12" t="s">
        <v>7</v>
      </c>
      <c r="I3" s="12" t="s">
        <v>2</v>
      </c>
      <c r="J3" s="12" t="s">
        <v>1</v>
      </c>
      <c r="K3" s="12" t="s">
        <v>7</v>
      </c>
      <c r="L3" s="12" t="s">
        <v>2</v>
      </c>
      <c r="O3" s="8" t="s">
        <v>6</v>
      </c>
      <c r="P3" s="8" t="s">
        <v>16</v>
      </c>
      <c r="Q3" s="8" t="s">
        <v>17</v>
      </c>
      <c r="R3" s="6"/>
      <c r="S3">
        <f>0.000023*4800/(2*PI()*Q12)</f>
        <v>1.6323987305283874E-4</v>
      </c>
    </row>
    <row r="4" spans="1:19" ht="15" thickBot="1" x14ac:dyDescent="0.35">
      <c r="A4" s="13">
        <v>7</v>
      </c>
      <c r="B4" s="18">
        <f>A4*0.0025</f>
        <v>1.7500000000000002E-2</v>
      </c>
      <c r="C4" s="13">
        <v>3.1E-2</v>
      </c>
      <c r="D4" s="13">
        <v>7</v>
      </c>
      <c r="E4" s="18">
        <f>D4*0.0025</f>
        <v>1.7500000000000002E-2</v>
      </c>
      <c r="F4" s="13">
        <v>7.3999999999999996E-2</v>
      </c>
      <c r="G4" s="13">
        <v>7</v>
      </c>
      <c r="H4" s="18">
        <f>G4*0.0025</f>
        <v>1.7500000000000002E-2</v>
      </c>
      <c r="I4" s="13">
        <v>0.114</v>
      </c>
      <c r="J4" s="13">
        <v>7</v>
      </c>
      <c r="K4" s="18">
        <f>J4*0.0025</f>
        <v>1.7500000000000002E-2</v>
      </c>
      <c r="L4" s="13">
        <v>0.157</v>
      </c>
      <c r="O4" s="10">
        <v>600</v>
      </c>
      <c r="P4" s="10">
        <v>1.3299999999999999E-2</v>
      </c>
      <c r="Q4" s="10">
        <v>2.0000000000000001E-4</v>
      </c>
      <c r="R4" t="s">
        <v>21</v>
      </c>
      <c r="S4">
        <f>S3*SQRT((0.000001/0.000023)^2 + (6/107.63)^2)</f>
        <v>1.1540534643986428E-5</v>
      </c>
    </row>
    <row r="5" spans="1:19" ht="15" thickBot="1" x14ac:dyDescent="0.35">
      <c r="A5" s="13">
        <v>9</v>
      </c>
      <c r="B5" s="18">
        <f t="shared" ref="B5:B8" si="0">A5*0.0025</f>
        <v>2.2499999999999999E-2</v>
      </c>
      <c r="C5" s="13">
        <v>5.8000000000000003E-2</v>
      </c>
      <c r="D5" s="13">
        <v>9</v>
      </c>
      <c r="E5" s="18">
        <f t="shared" ref="E5:E8" si="1">D5*0.0025</f>
        <v>2.2499999999999999E-2</v>
      </c>
      <c r="F5" s="13">
        <v>0.114</v>
      </c>
      <c r="G5" s="13">
        <v>9</v>
      </c>
      <c r="H5" s="18">
        <f t="shared" ref="H5:H8" si="2">G5*0.0025</f>
        <v>2.2499999999999999E-2</v>
      </c>
      <c r="I5" s="13">
        <v>0.16600000000000001</v>
      </c>
      <c r="J5" s="13">
        <v>9</v>
      </c>
      <c r="K5" s="18">
        <f t="shared" ref="K5:K8" si="3">J5*0.0025</f>
        <v>2.2499999999999999E-2</v>
      </c>
      <c r="L5" s="13">
        <v>0.222</v>
      </c>
      <c r="O5" s="10">
        <v>900</v>
      </c>
      <c r="P5" s="10">
        <v>0.02</v>
      </c>
      <c r="Q5" s="10">
        <v>4.0000000000000002E-4</v>
      </c>
    </row>
    <row r="6" spans="1:19" ht="15" thickBot="1" x14ac:dyDescent="0.35">
      <c r="A6" s="13">
        <v>11</v>
      </c>
      <c r="B6" s="18">
        <f t="shared" si="0"/>
        <v>2.75E-2</v>
      </c>
      <c r="C6" s="13">
        <v>8.4000000000000005E-2</v>
      </c>
      <c r="D6" s="13">
        <v>11</v>
      </c>
      <c r="E6" s="18">
        <f t="shared" si="1"/>
        <v>2.75E-2</v>
      </c>
      <c r="F6" s="13">
        <v>0.151</v>
      </c>
      <c r="G6" s="13">
        <v>11</v>
      </c>
      <c r="H6" s="18">
        <f t="shared" si="2"/>
        <v>2.75E-2</v>
      </c>
      <c r="I6" s="13">
        <v>0.219</v>
      </c>
      <c r="J6" s="13">
        <v>11</v>
      </c>
      <c r="K6" s="18">
        <f t="shared" si="3"/>
        <v>2.75E-2</v>
      </c>
      <c r="L6" s="13">
        <v>0.28699999999999998</v>
      </c>
      <c r="O6" s="10">
        <v>1200</v>
      </c>
      <c r="P6" s="10">
        <v>2.6800000000000001E-2</v>
      </c>
      <c r="Q6" s="10">
        <v>5.9999999999999995E-4</v>
      </c>
    </row>
    <row r="7" spans="1:19" ht="15" thickBot="1" x14ac:dyDescent="0.35">
      <c r="A7" s="13">
        <v>13</v>
      </c>
      <c r="B7" s="18">
        <f t="shared" si="0"/>
        <v>3.2500000000000001E-2</v>
      </c>
      <c r="C7" s="13">
        <v>0.109</v>
      </c>
      <c r="D7" s="13">
        <v>13</v>
      </c>
      <c r="E7" s="18">
        <f t="shared" si="1"/>
        <v>3.2500000000000001E-2</v>
      </c>
      <c r="F7" s="13">
        <v>0.19</v>
      </c>
      <c r="G7" s="13">
        <v>13</v>
      </c>
      <c r="H7" s="18">
        <f t="shared" si="2"/>
        <v>3.2500000000000001E-2</v>
      </c>
      <c r="I7" s="13">
        <v>0.26900000000000002</v>
      </c>
      <c r="J7" s="13">
        <v>13</v>
      </c>
      <c r="K7" s="18">
        <f t="shared" si="3"/>
        <v>3.2500000000000001E-2</v>
      </c>
      <c r="L7" s="13">
        <v>0.35299999999999998</v>
      </c>
      <c r="O7" s="10">
        <v>1500</v>
      </c>
      <c r="P7" s="10">
        <v>3.3700000000000001E-2</v>
      </c>
      <c r="Q7" s="10">
        <v>5.9999999999999995E-4</v>
      </c>
    </row>
    <row r="8" spans="1:19" x14ac:dyDescent="0.3">
      <c r="A8" s="13">
        <v>15</v>
      </c>
      <c r="B8" s="18">
        <f t="shared" si="0"/>
        <v>3.7499999999999999E-2</v>
      </c>
      <c r="C8" s="13">
        <v>0.13900000000000001</v>
      </c>
      <c r="D8" s="13">
        <v>15</v>
      </c>
      <c r="E8" s="18">
        <f t="shared" si="1"/>
        <v>3.7499999999999999E-2</v>
      </c>
      <c r="F8" s="13">
        <v>0.23599999999999999</v>
      </c>
      <c r="G8" s="13">
        <v>15</v>
      </c>
      <c r="H8" s="18">
        <f t="shared" si="2"/>
        <v>3.7499999999999999E-2</v>
      </c>
      <c r="I8" s="13">
        <v>0.33100000000000002</v>
      </c>
      <c r="J8" s="13">
        <v>15</v>
      </c>
      <c r="K8" s="18">
        <f t="shared" si="3"/>
        <v>3.7499999999999999E-2</v>
      </c>
      <c r="L8" s="13">
        <v>0.42899999999999999</v>
      </c>
    </row>
    <row r="9" spans="1:19" ht="43.2" x14ac:dyDescent="0.3">
      <c r="S9" s="7" t="s">
        <v>18</v>
      </c>
    </row>
    <row r="11" spans="1:19" ht="15" thickBot="1" x14ac:dyDescent="0.35"/>
    <row r="12" spans="1:19" ht="15" thickBot="1" x14ac:dyDescent="0.35">
      <c r="N12" s="9"/>
      <c r="O12" s="9"/>
      <c r="P12" s="9"/>
      <c r="Q12">
        <v>107.63734000000002</v>
      </c>
    </row>
  </sheetData>
  <mergeCells count="4">
    <mergeCell ref="A2:C2"/>
    <mergeCell ref="D2:F2"/>
    <mergeCell ref="G2:I2"/>
    <mergeCell ref="J2:L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03E9-8273-472B-BC01-48743AE07328}">
  <dimension ref="A1:AC24"/>
  <sheetViews>
    <sheetView topLeftCell="Q1" workbookViewId="0">
      <selection activeCell="W15" sqref="W15"/>
    </sheetView>
  </sheetViews>
  <sheetFormatPr defaultRowHeight="14.4" x14ac:dyDescent="0.3"/>
  <cols>
    <col min="19" max="19" width="9.5546875" bestFit="1" customWidth="1"/>
    <col min="23" max="23" width="9.5546875" bestFit="1" customWidth="1"/>
  </cols>
  <sheetData>
    <row r="1" spans="1:29" x14ac:dyDescent="0.3">
      <c r="A1" t="s">
        <v>5</v>
      </c>
    </row>
    <row r="2" spans="1:29" x14ac:dyDescent="0.3">
      <c r="A2" s="11" t="s">
        <v>9</v>
      </c>
      <c r="B2" s="11"/>
      <c r="C2" s="11"/>
      <c r="D2" s="11" t="s">
        <v>10</v>
      </c>
      <c r="E2" s="11"/>
      <c r="F2" s="11"/>
      <c r="G2" s="11" t="s">
        <v>20</v>
      </c>
      <c r="H2" s="11"/>
      <c r="I2" s="11"/>
      <c r="J2" s="11" t="s">
        <v>11</v>
      </c>
      <c r="K2" s="11"/>
      <c r="L2" s="11"/>
      <c r="M2" s="11" t="s">
        <v>12</v>
      </c>
      <c r="N2" s="11"/>
      <c r="O2" s="11"/>
    </row>
    <row r="3" spans="1:29" ht="15" thickBot="1" x14ac:dyDescent="0.35">
      <c r="A3" s="12" t="s">
        <v>1</v>
      </c>
      <c r="B3" s="12" t="s">
        <v>7</v>
      </c>
      <c r="C3" s="12" t="s">
        <v>2</v>
      </c>
      <c r="D3" s="12" t="s">
        <v>1</v>
      </c>
      <c r="E3" s="12" t="s">
        <v>7</v>
      </c>
      <c r="F3" s="12" t="s">
        <v>2</v>
      </c>
      <c r="G3" s="12" t="s">
        <v>1</v>
      </c>
      <c r="H3" s="12" t="s">
        <v>7</v>
      </c>
      <c r="I3" s="12" t="s">
        <v>2</v>
      </c>
      <c r="J3" s="12" t="s">
        <v>1</v>
      </c>
      <c r="K3" s="12" t="s">
        <v>7</v>
      </c>
      <c r="L3" s="12" t="s">
        <v>2</v>
      </c>
      <c r="M3" s="12" t="s">
        <v>1</v>
      </c>
      <c r="N3" s="12" t="s">
        <v>7</v>
      </c>
      <c r="O3" s="12" t="s">
        <v>2</v>
      </c>
      <c r="R3">
        <v>100</v>
      </c>
      <c r="X3">
        <v>50</v>
      </c>
    </row>
    <row r="4" spans="1:29" ht="42" thickBot="1" x14ac:dyDescent="0.35">
      <c r="A4" s="13">
        <v>1</v>
      </c>
      <c r="B4" s="18">
        <f>A4*0.0025</f>
        <v>2.5000000000000001E-3</v>
      </c>
      <c r="C4" s="13">
        <v>7.8E-2</v>
      </c>
      <c r="D4" s="13">
        <v>1</v>
      </c>
      <c r="E4" s="18">
        <f>D4*0.0025</f>
        <v>2.5000000000000001E-3</v>
      </c>
      <c r="F4" s="13">
        <v>7.9000000000000001E-2</v>
      </c>
      <c r="G4" s="13">
        <v>1</v>
      </c>
      <c r="H4" s="18">
        <f>G4*0.0025</f>
        <v>2.5000000000000001E-3</v>
      </c>
      <c r="I4" s="13">
        <v>7.8E-2</v>
      </c>
      <c r="J4" s="13">
        <v>1</v>
      </c>
      <c r="K4" s="18">
        <f>J4*0.0025</f>
        <v>2.5000000000000001E-3</v>
      </c>
      <c r="L4" s="13">
        <v>8.1000000000000003E-2</v>
      </c>
      <c r="M4" s="13">
        <v>1</v>
      </c>
      <c r="N4" s="18">
        <f>M4*0.0025</f>
        <v>2.5000000000000001E-3</v>
      </c>
      <c r="O4" s="13">
        <v>7.6999999999999999E-2</v>
      </c>
      <c r="Q4" s="25" t="s">
        <v>14</v>
      </c>
      <c r="R4" s="19" t="s">
        <v>6</v>
      </c>
      <c r="S4" s="19" t="s">
        <v>16</v>
      </c>
      <c r="T4" s="19" t="s">
        <v>23</v>
      </c>
      <c r="U4" s="23" t="s">
        <v>22</v>
      </c>
      <c r="V4" s="23" t="s">
        <v>19</v>
      </c>
      <c r="Y4" s="19" t="s">
        <v>6</v>
      </c>
      <c r="Z4" s="19" t="s">
        <v>16</v>
      </c>
      <c r="AA4" s="19" t="s">
        <v>23</v>
      </c>
      <c r="AB4" s="23" t="s">
        <v>22</v>
      </c>
      <c r="AC4" s="23" t="s">
        <v>19</v>
      </c>
    </row>
    <row r="5" spans="1:29" ht="15" thickBot="1" x14ac:dyDescent="0.35">
      <c r="A5" s="13">
        <v>1.5</v>
      </c>
      <c r="B5" s="18">
        <f t="shared" ref="B5:B10" si="0">A5*0.0025</f>
        <v>3.7499999999999999E-3</v>
      </c>
      <c r="C5" s="13">
        <v>0.14899999999999999</v>
      </c>
      <c r="D5" s="13">
        <v>1.5</v>
      </c>
      <c r="E5" s="18">
        <f t="shared" ref="E5:E10" si="1">D5*0.0025</f>
        <v>3.7499999999999999E-3</v>
      </c>
      <c r="F5" s="13">
        <v>0.151</v>
      </c>
      <c r="G5" s="13">
        <v>1.5</v>
      </c>
      <c r="H5" s="18">
        <f t="shared" ref="H5:H10" si="2">G5*0.0025</f>
        <v>3.7499999999999999E-3</v>
      </c>
      <c r="I5" s="13">
        <v>0.15</v>
      </c>
      <c r="J5" s="13">
        <v>1.5</v>
      </c>
      <c r="K5" s="18">
        <f t="shared" ref="K5:K10" si="3">J5*0.0025</f>
        <v>3.7499999999999999E-3</v>
      </c>
      <c r="L5" s="13">
        <v>0.154</v>
      </c>
      <c r="M5" s="13">
        <v>1.5</v>
      </c>
      <c r="N5" s="18">
        <f t="shared" ref="N5:N10" si="4">M5*0.0025</f>
        <v>3.7499999999999999E-3</v>
      </c>
      <c r="O5" s="13">
        <v>0.15</v>
      </c>
      <c r="Q5" s="22">
        <v>106.86669999999999</v>
      </c>
      <c r="R5" s="24">
        <v>300</v>
      </c>
      <c r="S5" s="26">
        <v>0.23069999999999999</v>
      </c>
      <c r="T5" s="26">
        <v>1.34E-2</v>
      </c>
      <c r="U5" s="14">
        <f>500*S5/Q5</f>
        <v>1.0793820713093976</v>
      </c>
      <c r="V5" s="14">
        <f>U5*T5/S5</f>
        <v>6.2694927418924698E-2</v>
      </c>
      <c r="X5" s="22">
        <v>39.382899999999999</v>
      </c>
      <c r="Y5" s="24">
        <v>300</v>
      </c>
      <c r="Z5" s="26">
        <v>0.1007</v>
      </c>
      <c r="AA5" s="26">
        <v>1.0500000000000001E-2</v>
      </c>
      <c r="AB5" s="14">
        <f>500*Z5/X5</f>
        <v>1.2784736522704017</v>
      </c>
      <c r="AC5" s="14">
        <f>AB5*AA5/Z5</f>
        <v>0.13330658737675491</v>
      </c>
    </row>
    <row r="6" spans="1:29" ht="15" thickBot="1" x14ac:dyDescent="0.35">
      <c r="A6" s="13">
        <v>2</v>
      </c>
      <c r="B6" s="18">
        <f t="shared" si="0"/>
        <v>5.0000000000000001E-3</v>
      </c>
      <c r="C6" s="13">
        <v>0.22500000000000001</v>
      </c>
      <c r="D6" s="13">
        <v>2</v>
      </c>
      <c r="E6" s="18">
        <f t="shared" si="1"/>
        <v>5.0000000000000001E-3</v>
      </c>
      <c r="F6" s="13">
        <v>0.22600000000000001</v>
      </c>
      <c r="G6" s="13">
        <v>2</v>
      </c>
      <c r="H6" s="18">
        <f t="shared" si="2"/>
        <v>5.0000000000000001E-3</v>
      </c>
      <c r="I6" s="13">
        <v>0.22800000000000001</v>
      </c>
      <c r="J6" s="13">
        <v>2</v>
      </c>
      <c r="K6" s="18">
        <f t="shared" si="3"/>
        <v>5.0000000000000001E-3</v>
      </c>
      <c r="L6" s="13">
        <v>0.23</v>
      </c>
      <c r="M6" s="13">
        <v>2</v>
      </c>
      <c r="N6" s="18">
        <f t="shared" si="4"/>
        <v>5.0000000000000001E-3</v>
      </c>
      <c r="O6" s="13">
        <v>0.22500000000000001</v>
      </c>
      <c r="Q6" s="22">
        <v>108.4933</v>
      </c>
      <c r="R6" s="24">
        <v>600</v>
      </c>
      <c r="S6" s="26">
        <v>0.22009999999999999</v>
      </c>
      <c r="T6" s="26">
        <v>1.2500000000000001E-2</v>
      </c>
      <c r="U6" s="14">
        <f>500*S6/Q6</f>
        <v>1.0143483514650213</v>
      </c>
      <c r="V6" s="14">
        <f t="shared" ref="V6:V9" si="5">U6*T6/S6</f>
        <v>5.7607243949626394E-2</v>
      </c>
      <c r="X6" s="22">
        <v>49.531399999999998</v>
      </c>
      <c r="Y6" s="24">
        <v>600</v>
      </c>
      <c r="Z6" s="26">
        <v>0.1024</v>
      </c>
      <c r="AA6" s="26">
        <v>9.9000000000000008E-3</v>
      </c>
      <c r="AB6" s="14">
        <f>500*Z6/X6</f>
        <v>1.033687721324251</v>
      </c>
      <c r="AC6" s="14">
        <f t="shared" ref="AC6:AC9" si="6">AB6*AA6/Z6</f>
        <v>9.9936605870215689E-2</v>
      </c>
    </row>
    <row r="7" spans="1:29" ht="15" thickBot="1" x14ac:dyDescent="0.35">
      <c r="A7" s="13">
        <v>2</v>
      </c>
      <c r="B7" s="18">
        <f t="shared" si="0"/>
        <v>5.0000000000000001E-3</v>
      </c>
      <c r="C7" s="13">
        <v>0.2</v>
      </c>
      <c r="D7" s="13">
        <v>2</v>
      </c>
      <c r="E7" s="18">
        <f t="shared" si="1"/>
        <v>5.0000000000000001E-3</v>
      </c>
      <c r="F7" s="13">
        <v>0.20599999999999999</v>
      </c>
      <c r="G7" s="13">
        <v>2.5</v>
      </c>
      <c r="H7" s="18">
        <f t="shared" si="2"/>
        <v>6.2500000000000003E-3</v>
      </c>
      <c r="I7" s="13">
        <v>0.21099999999999999</v>
      </c>
      <c r="J7" s="13">
        <v>2.5</v>
      </c>
      <c r="K7" s="18">
        <f t="shared" si="3"/>
        <v>6.2500000000000003E-3</v>
      </c>
      <c r="L7" s="13">
        <v>0.20599999999999999</v>
      </c>
      <c r="M7" s="13">
        <v>2.5</v>
      </c>
      <c r="N7" s="18">
        <f t="shared" si="4"/>
        <v>6.2500000000000003E-3</v>
      </c>
      <c r="O7" s="13">
        <v>0.20699999999999999</v>
      </c>
      <c r="Q7" s="22">
        <v>107.6267</v>
      </c>
      <c r="R7" s="24">
        <v>900</v>
      </c>
      <c r="S7" s="26">
        <v>0.21379999999999999</v>
      </c>
      <c r="T7" s="26">
        <v>1.29E-2</v>
      </c>
      <c r="U7" s="14">
        <f>500*S7/Q7</f>
        <v>0.99324795798811993</v>
      </c>
      <c r="V7" s="14">
        <f t="shared" si="5"/>
        <v>5.9929366969348676E-2</v>
      </c>
      <c r="X7" s="22">
        <v>48.16</v>
      </c>
      <c r="Y7" s="24">
        <v>900</v>
      </c>
      <c r="Z7" s="26">
        <v>0.1041</v>
      </c>
      <c r="AA7" s="26">
        <v>9.9000000000000008E-3</v>
      </c>
      <c r="AB7" s="14">
        <f>500*Z7/X7</f>
        <v>1.0807724252491695</v>
      </c>
      <c r="AC7" s="14">
        <f t="shared" si="6"/>
        <v>0.10278239202657809</v>
      </c>
    </row>
    <row r="8" spans="1:29" ht="15" thickBot="1" x14ac:dyDescent="0.35">
      <c r="A8" s="13">
        <v>3</v>
      </c>
      <c r="B8" s="18">
        <f t="shared" si="0"/>
        <v>7.4999999999999997E-3</v>
      </c>
      <c r="C8" s="13">
        <v>0.26800000000000002</v>
      </c>
      <c r="D8" s="13">
        <v>3</v>
      </c>
      <c r="E8" s="18">
        <f t="shared" si="1"/>
        <v>7.4999999999999997E-3</v>
      </c>
      <c r="F8" s="13">
        <v>0.27400000000000002</v>
      </c>
      <c r="G8" s="13">
        <v>3</v>
      </c>
      <c r="H8" s="18">
        <f t="shared" si="2"/>
        <v>7.4999999999999997E-3</v>
      </c>
      <c r="I8" s="13">
        <v>0.27500000000000002</v>
      </c>
      <c r="J8" s="13">
        <v>3</v>
      </c>
      <c r="K8" s="18">
        <f t="shared" si="3"/>
        <v>7.4999999999999997E-3</v>
      </c>
      <c r="L8" s="13">
        <v>0.26900000000000002</v>
      </c>
      <c r="M8" s="13">
        <v>3</v>
      </c>
      <c r="N8" s="18">
        <f t="shared" si="4"/>
        <v>7.4999999999999997E-3</v>
      </c>
      <c r="O8" s="13">
        <v>0.27100000000000002</v>
      </c>
      <c r="Q8" s="22">
        <v>106.8267</v>
      </c>
      <c r="R8" s="24">
        <v>1200</v>
      </c>
      <c r="S8" s="26">
        <v>0.21659999999999999</v>
      </c>
      <c r="T8" s="26">
        <v>1.32E-2</v>
      </c>
      <c r="U8" s="14">
        <f>500*S8/Q8</f>
        <v>1.0137914959462382</v>
      </c>
      <c r="V8" s="14">
        <f t="shared" si="5"/>
        <v>6.1782307232180728E-2</v>
      </c>
      <c r="X8" s="22">
        <v>55.146700000000003</v>
      </c>
      <c r="Y8" s="24">
        <v>1200</v>
      </c>
      <c r="Z8" s="26">
        <v>0.1002</v>
      </c>
      <c r="AA8" s="26">
        <v>1.0500000000000001E-2</v>
      </c>
      <c r="AB8" s="14">
        <f>500*Z8/X8</f>
        <v>0.90848591121499567</v>
      </c>
      <c r="AC8" s="14">
        <f t="shared" si="6"/>
        <v>9.5200619438697162E-2</v>
      </c>
    </row>
    <row r="9" spans="1:29" ht="15" thickBot="1" x14ac:dyDescent="0.35">
      <c r="A9" s="13">
        <v>3.5</v>
      </c>
      <c r="B9" s="18">
        <f t="shared" si="0"/>
        <v>8.7500000000000008E-3</v>
      </c>
      <c r="C9" s="13">
        <v>0.33600000000000002</v>
      </c>
      <c r="D9" s="13">
        <v>3.5</v>
      </c>
      <c r="E9" s="18">
        <f t="shared" si="1"/>
        <v>8.7500000000000008E-3</v>
      </c>
      <c r="F9" s="13">
        <v>0.34300000000000003</v>
      </c>
      <c r="G9" s="13">
        <v>3.5</v>
      </c>
      <c r="H9" s="18">
        <f t="shared" si="2"/>
        <v>8.7500000000000008E-3</v>
      </c>
      <c r="I9" s="13">
        <v>0.34399999999999997</v>
      </c>
      <c r="J9" s="13">
        <v>3.5</v>
      </c>
      <c r="K9" s="18">
        <f t="shared" si="3"/>
        <v>8.7500000000000008E-3</v>
      </c>
      <c r="L9" s="13">
        <v>0.34399999999999997</v>
      </c>
      <c r="M9" s="13">
        <v>3.5</v>
      </c>
      <c r="N9" s="18">
        <f t="shared" si="4"/>
        <v>8.7500000000000008E-3</v>
      </c>
      <c r="O9" s="13">
        <v>0.34799999999999998</v>
      </c>
      <c r="Q9" s="22">
        <v>108.3733</v>
      </c>
      <c r="R9" s="24">
        <v>1500</v>
      </c>
      <c r="S9" s="26">
        <v>0.21629999999999999</v>
      </c>
      <c r="T9" s="26">
        <v>1.29E-2</v>
      </c>
      <c r="U9" s="14">
        <f>500*S9/Q9</f>
        <v>0.997939529385928</v>
      </c>
      <c r="V9" s="14">
        <f t="shared" si="5"/>
        <v>5.9516504526483917E-2</v>
      </c>
      <c r="X9" s="22">
        <v>55.453299999999999</v>
      </c>
      <c r="Y9" s="24">
        <v>1500</v>
      </c>
      <c r="Z9" s="26">
        <v>0.1027</v>
      </c>
      <c r="AA9" s="26">
        <v>9.7000000000000003E-3</v>
      </c>
      <c r="AB9" s="14">
        <f>500*Z9/X9</f>
        <v>0.92600440370546033</v>
      </c>
      <c r="AC9" s="14">
        <f t="shared" si="6"/>
        <v>8.7460980681041536E-2</v>
      </c>
    </row>
    <row r="10" spans="1:29" x14ac:dyDescent="0.3">
      <c r="A10" s="13">
        <v>4</v>
      </c>
      <c r="B10" s="18">
        <f t="shared" si="0"/>
        <v>0.01</v>
      </c>
      <c r="C10" s="13">
        <v>0.40899999999999997</v>
      </c>
      <c r="D10" s="13">
        <v>4</v>
      </c>
      <c r="E10" s="18">
        <f t="shared" si="1"/>
        <v>0.01</v>
      </c>
      <c r="F10" s="13">
        <v>0.41299999999999998</v>
      </c>
      <c r="G10" s="13">
        <v>4</v>
      </c>
      <c r="H10" s="18">
        <f t="shared" si="2"/>
        <v>0.01</v>
      </c>
      <c r="I10" s="13">
        <v>0.41899999999999998</v>
      </c>
      <c r="J10" s="13">
        <v>4</v>
      </c>
      <c r="K10" s="18">
        <f t="shared" si="3"/>
        <v>0.01</v>
      </c>
      <c r="L10" s="13">
        <v>0.40899999999999997</v>
      </c>
      <c r="M10" s="13">
        <v>4</v>
      </c>
      <c r="N10" s="18">
        <f t="shared" si="4"/>
        <v>0.01</v>
      </c>
      <c r="O10" s="13">
        <v>0.40899999999999997</v>
      </c>
    </row>
    <row r="11" spans="1:29" ht="15" thickBot="1" x14ac:dyDescent="0.35"/>
    <row r="12" spans="1:29" ht="15" thickBot="1" x14ac:dyDescent="0.35">
      <c r="X12" s="9"/>
      <c r="Y12" s="9"/>
      <c r="Z12" s="9"/>
    </row>
    <row r="13" spans="1:29" ht="15" thickBot="1" x14ac:dyDescent="0.35">
      <c r="A13" t="s">
        <v>3</v>
      </c>
      <c r="Q13" s="9"/>
      <c r="R13" s="9"/>
      <c r="S13" s="9"/>
      <c r="V13" t="s">
        <v>22</v>
      </c>
      <c r="W13">
        <f>AVERAGE(U5:U9,AB5:AB9)</f>
        <v>1.0326133519858982</v>
      </c>
    </row>
    <row r="14" spans="1:29" x14ac:dyDescent="0.3">
      <c r="A14" s="11" t="s">
        <v>9</v>
      </c>
      <c r="B14" s="11"/>
      <c r="C14" s="11"/>
      <c r="D14" s="11" t="s">
        <v>10</v>
      </c>
      <c r="E14" s="11"/>
      <c r="F14" s="11"/>
      <c r="G14" s="11" t="s">
        <v>20</v>
      </c>
      <c r="H14" s="11"/>
      <c r="I14" s="11"/>
      <c r="J14" s="11" t="s">
        <v>11</v>
      </c>
      <c r="K14" s="11"/>
      <c r="L14" s="11"/>
      <c r="M14" s="11" t="s">
        <v>12</v>
      </c>
      <c r="N14" s="11"/>
      <c r="O14" s="11"/>
    </row>
    <row r="15" spans="1:29" x14ac:dyDescent="0.3">
      <c r="A15" s="12" t="s">
        <v>1</v>
      </c>
      <c r="B15" s="12" t="s">
        <v>7</v>
      </c>
      <c r="C15" s="12" t="s">
        <v>2</v>
      </c>
      <c r="D15" s="12" t="s">
        <v>1</v>
      </c>
      <c r="E15" s="12" t="s">
        <v>7</v>
      </c>
      <c r="F15" s="12" t="s">
        <v>2</v>
      </c>
      <c r="G15" s="12" t="s">
        <v>1</v>
      </c>
      <c r="H15" s="12" t="s">
        <v>7</v>
      </c>
      <c r="I15" s="12" t="s">
        <v>2</v>
      </c>
      <c r="J15" s="12" t="s">
        <v>1</v>
      </c>
      <c r="K15" s="12" t="s">
        <v>7</v>
      </c>
      <c r="L15" s="12" t="s">
        <v>2</v>
      </c>
      <c r="M15" s="12" t="s">
        <v>1</v>
      </c>
      <c r="N15" s="12" t="s">
        <v>7</v>
      </c>
      <c r="O15" s="12" t="s">
        <v>2</v>
      </c>
      <c r="V15" t="s">
        <v>21</v>
      </c>
      <c r="W15">
        <f>AVERAGE(V5:V9,AC5:AC9)</f>
        <v>8.2021753548985193E-2</v>
      </c>
    </row>
    <row r="16" spans="1:29" x14ac:dyDescent="0.3">
      <c r="A16" s="13">
        <v>1</v>
      </c>
      <c r="B16" s="18">
        <f>A16*0.0025</f>
        <v>2.5000000000000001E-3</v>
      </c>
      <c r="C16" s="13">
        <v>0.19700000000000001</v>
      </c>
      <c r="D16" s="13">
        <v>1</v>
      </c>
      <c r="E16" s="18">
        <f>D16*0.0025</f>
        <v>2.5000000000000001E-3</v>
      </c>
      <c r="F16" s="13">
        <v>0.20200000000000001</v>
      </c>
      <c r="G16" s="13">
        <v>1</v>
      </c>
      <c r="H16" s="18">
        <f>G16*0.0025</f>
        <v>2.5000000000000001E-3</v>
      </c>
      <c r="I16" s="13">
        <v>0.2</v>
      </c>
      <c r="J16" s="13">
        <v>1</v>
      </c>
      <c r="K16" s="18">
        <f>J16*0.0025</f>
        <v>2.5000000000000001E-3</v>
      </c>
      <c r="L16" s="13">
        <v>0.19700000000000001</v>
      </c>
      <c r="M16" s="13">
        <v>1</v>
      </c>
      <c r="N16" s="18">
        <f>M16*0.0025</f>
        <v>2.5000000000000001E-3</v>
      </c>
      <c r="O16" s="13">
        <v>0.19700000000000001</v>
      </c>
    </row>
    <row r="17" spans="1:15" x14ac:dyDescent="0.3">
      <c r="A17" s="13">
        <v>1.5</v>
      </c>
      <c r="B17" s="18">
        <f t="shared" ref="B17:B24" si="7">A17*0.0025</f>
        <v>3.7499999999999999E-3</v>
      </c>
      <c r="C17" s="13">
        <v>0.34399999999999997</v>
      </c>
      <c r="D17" s="13">
        <v>1.5</v>
      </c>
      <c r="E17" s="18">
        <f t="shared" ref="E17:E24" si="8">D17*0.0025</f>
        <v>3.7499999999999999E-3</v>
      </c>
      <c r="F17" s="13">
        <v>0.34399999999999997</v>
      </c>
      <c r="G17" s="13">
        <v>1.5</v>
      </c>
      <c r="H17" s="18">
        <f t="shared" ref="H17:H24" si="9">G17*0.0025</f>
        <v>3.7499999999999999E-3</v>
      </c>
      <c r="I17" s="13">
        <v>0.34300000000000003</v>
      </c>
      <c r="J17" s="13">
        <v>1.5</v>
      </c>
      <c r="K17" s="18">
        <f t="shared" ref="K17:K24" si="10">J17*0.0025</f>
        <v>3.7499999999999999E-3</v>
      </c>
      <c r="L17" s="13">
        <v>0.33900000000000002</v>
      </c>
      <c r="M17" s="13">
        <v>1.5</v>
      </c>
      <c r="N17" s="18">
        <f t="shared" ref="N17:N24" si="11">M17*0.0025</f>
        <v>3.7499999999999999E-3</v>
      </c>
      <c r="O17" s="13">
        <v>0.33800000000000002</v>
      </c>
    </row>
    <row r="18" spans="1:15" x14ac:dyDescent="0.3">
      <c r="A18" s="13">
        <v>2</v>
      </c>
      <c r="B18" s="18">
        <f t="shared" si="7"/>
        <v>5.0000000000000001E-3</v>
      </c>
      <c r="C18" s="13">
        <v>0.48899999999999999</v>
      </c>
      <c r="D18" s="13">
        <v>2</v>
      </c>
      <c r="E18" s="18">
        <f t="shared" si="8"/>
        <v>5.0000000000000001E-3</v>
      </c>
      <c r="F18" s="13">
        <v>0.49</v>
      </c>
      <c r="G18" s="13">
        <v>2</v>
      </c>
      <c r="H18" s="18">
        <f t="shared" si="9"/>
        <v>5.0000000000000001E-3</v>
      </c>
      <c r="I18" s="13">
        <v>0.48599999999999999</v>
      </c>
      <c r="J18" s="13">
        <v>2</v>
      </c>
      <c r="K18" s="18">
        <f t="shared" si="10"/>
        <v>5.0000000000000001E-3</v>
      </c>
      <c r="L18" s="13">
        <v>0.48399999999999999</v>
      </c>
      <c r="M18" s="13">
        <v>2</v>
      </c>
      <c r="N18" s="18">
        <f t="shared" si="11"/>
        <v>5.0000000000000001E-3</v>
      </c>
      <c r="O18" s="13">
        <v>0.48199999999999998</v>
      </c>
    </row>
    <row r="19" spans="1:15" x14ac:dyDescent="0.3">
      <c r="A19" s="13">
        <v>2</v>
      </c>
      <c r="B19" s="18">
        <f t="shared" si="7"/>
        <v>5.0000000000000001E-3</v>
      </c>
      <c r="C19" s="13">
        <v>0.44900000000000001</v>
      </c>
      <c r="D19" s="13">
        <v>2</v>
      </c>
      <c r="E19" s="18">
        <f t="shared" si="8"/>
        <v>5.0000000000000001E-3</v>
      </c>
      <c r="F19" s="13">
        <v>0.45100000000000001</v>
      </c>
      <c r="G19" s="13">
        <v>2</v>
      </c>
      <c r="H19" s="18">
        <f t="shared" si="9"/>
        <v>5.0000000000000001E-3</v>
      </c>
      <c r="I19" s="13">
        <v>0.44600000000000001</v>
      </c>
      <c r="J19" s="13">
        <v>2</v>
      </c>
      <c r="K19" s="18">
        <f t="shared" si="10"/>
        <v>5.0000000000000001E-3</v>
      </c>
      <c r="L19" s="13">
        <v>0.44500000000000001</v>
      </c>
      <c r="M19" s="13">
        <v>2</v>
      </c>
      <c r="N19" s="18">
        <f t="shared" si="11"/>
        <v>5.0000000000000001E-3</v>
      </c>
      <c r="O19" s="13">
        <v>0.441</v>
      </c>
    </row>
    <row r="20" spans="1:15" x14ac:dyDescent="0.3">
      <c r="A20" s="13">
        <v>3</v>
      </c>
      <c r="B20" s="18">
        <f t="shared" si="7"/>
        <v>7.4999999999999997E-3</v>
      </c>
      <c r="C20" s="13">
        <v>0.6</v>
      </c>
      <c r="D20" s="13">
        <v>3</v>
      </c>
      <c r="E20" s="18">
        <f t="shared" si="8"/>
        <v>7.4999999999999997E-3</v>
      </c>
      <c r="F20" s="13">
        <v>0.59099999999999997</v>
      </c>
      <c r="G20" s="13">
        <v>3</v>
      </c>
      <c r="H20" s="18">
        <f t="shared" si="9"/>
        <v>7.4999999999999997E-3</v>
      </c>
      <c r="I20" s="13">
        <v>0.57399999999999995</v>
      </c>
      <c r="J20" s="13">
        <v>3</v>
      </c>
      <c r="K20" s="18">
        <f t="shared" si="10"/>
        <v>7.4999999999999997E-3</v>
      </c>
      <c r="L20" s="13">
        <v>0.56699999999999995</v>
      </c>
      <c r="M20" s="13">
        <v>3</v>
      </c>
      <c r="N20" s="18">
        <f t="shared" si="11"/>
        <v>7.4999999999999997E-3</v>
      </c>
      <c r="O20" s="13">
        <v>0.57599999999999996</v>
      </c>
    </row>
    <row r="21" spans="1:15" x14ac:dyDescent="0.3">
      <c r="A21" s="13">
        <v>3.5</v>
      </c>
      <c r="B21" s="18">
        <f t="shared" si="7"/>
        <v>8.7500000000000008E-3</v>
      </c>
      <c r="C21" s="13">
        <v>0.745</v>
      </c>
      <c r="D21" s="13">
        <v>3.5</v>
      </c>
      <c r="E21" s="18">
        <f t="shared" si="8"/>
        <v>8.7500000000000008E-3</v>
      </c>
      <c r="F21" s="13">
        <v>0.73599999999999999</v>
      </c>
      <c r="G21" s="13">
        <v>3.5</v>
      </c>
      <c r="H21" s="18">
        <f t="shared" si="9"/>
        <v>8.7500000000000008E-3</v>
      </c>
      <c r="I21" s="13">
        <v>0.70499999999999996</v>
      </c>
      <c r="J21" s="13">
        <v>3.5</v>
      </c>
      <c r="K21" s="18">
        <f t="shared" si="10"/>
        <v>8.7500000000000008E-3</v>
      </c>
      <c r="L21" s="13">
        <v>0.70799999999999996</v>
      </c>
      <c r="M21" s="13">
        <v>3.5</v>
      </c>
      <c r="N21" s="18">
        <f t="shared" si="11"/>
        <v>8.7500000000000008E-3</v>
      </c>
      <c r="O21" s="13">
        <v>0.71</v>
      </c>
    </row>
    <row r="22" spans="1:15" x14ac:dyDescent="0.3">
      <c r="A22" s="13">
        <v>4</v>
      </c>
      <c r="B22" s="18">
        <f t="shared" si="7"/>
        <v>0.01</v>
      </c>
      <c r="C22" s="13">
        <v>0.876</v>
      </c>
      <c r="D22" s="13">
        <v>4</v>
      </c>
      <c r="E22" s="18">
        <f t="shared" si="8"/>
        <v>0.01</v>
      </c>
      <c r="F22" s="13">
        <v>0.85599999999999998</v>
      </c>
      <c r="G22" s="13">
        <v>4</v>
      </c>
      <c r="H22" s="18">
        <f t="shared" si="9"/>
        <v>0.01</v>
      </c>
      <c r="I22" s="13">
        <v>0.84199999999999997</v>
      </c>
      <c r="J22" s="13">
        <v>4</v>
      </c>
      <c r="K22" s="18">
        <f t="shared" si="10"/>
        <v>0.01</v>
      </c>
      <c r="L22" s="13">
        <v>0.85299999999999998</v>
      </c>
      <c r="M22" s="13">
        <v>4</v>
      </c>
      <c r="N22" s="18">
        <f t="shared" si="11"/>
        <v>0.01</v>
      </c>
      <c r="O22" s="13">
        <v>0.84299999999999997</v>
      </c>
    </row>
    <row r="23" spans="1:15" x14ac:dyDescent="0.3">
      <c r="A23" s="13">
        <v>4.5</v>
      </c>
      <c r="B23" s="18">
        <f>A23*0.0025</f>
        <v>1.125E-2</v>
      </c>
      <c r="C23" s="13">
        <v>1.026</v>
      </c>
      <c r="D23" s="13">
        <v>4.5</v>
      </c>
      <c r="E23" s="18">
        <f>D23*0.0025</f>
        <v>1.125E-2</v>
      </c>
      <c r="F23" s="13">
        <v>0.99099999999999999</v>
      </c>
      <c r="G23" s="13">
        <v>4.5</v>
      </c>
      <c r="H23" s="18">
        <f>G23*0.0025</f>
        <v>1.125E-2</v>
      </c>
      <c r="I23" s="13">
        <v>0.97499999999999998</v>
      </c>
      <c r="J23" s="13">
        <v>4.5</v>
      </c>
      <c r="K23" s="18">
        <f>J23*0.0025</f>
        <v>1.125E-2</v>
      </c>
      <c r="L23" s="13">
        <v>0.97699999999999998</v>
      </c>
      <c r="M23" s="13">
        <v>4.5</v>
      </c>
      <c r="N23" s="18">
        <f>M23*0.0025</f>
        <v>1.125E-2</v>
      </c>
      <c r="O23" s="13">
        <v>0.96399999999999997</v>
      </c>
    </row>
    <row r="24" spans="1:15" x14ac:dyDescent="0.3">
      <c r="A24" s="13">
        <v>5</v>
      </c>
      <c r="B24" s="18">
        <f t="shared" si="7"/>
        <v>1.2500000000000001E-2</v>
      </c>
      <c r="C24" s="13">
        <v>1.1479999999999999</v>
      </c>
      <c r="D24" s="13">
        <v>5</v>
      </c>
      <c r="E24" s="18">
        <f t="shared" si="8"/>
        <v>1.2500000000000001E-2</v>
      </c>
      <c r="F24" s="13">
        <v>1.113</v>
      </c>
      <c r="G24" s="13">
        <v>5</v>
      </c>
      <c r="H24" s="18">
        <f t="shared" si="9"/>
        <v>1.2500000000000001E-2</v>
      </c>
      <c r="I24" s="13">
        <v>1.087</v>
      </c>
      <c r="J24" s="13">
        <v>5</v>
      </c>
      <c r="K24" s="18">
        <f t="shared" si="10"/>
        <v>1.2500000000000001E-2</v>
      </c>
      <c r="L24" s="13">
        <v>1.093</v>
      </c>
      <c r="M24" s="13">
        <v>5</v>
      </c>
      <c r="N24" s="18">
        <f t="shared" si="11"/>
        <v>1.2500000000000001E-2</v>
      </c>
      <c r="O24" s="13">
        <v>1.1020000000000001</v>
      </c>
    </row>
  </sheetData>
  <mergeCells count="10">
    <mergeCell ref="A2:C2"/>
    <mergeCell ref="D2:F2"/>
    <mergeCell ref="G2:I2"/>
    <mergeCell ref="J2:L2"/>
    <mergeCell ref="M2:O2"/>
    <mergeCell ref="A14:C14"/>
    <mergeCell ref="D14:F14"/>
    <mergeCell ref="G14:I14"/>
    <mergeCell ref="J14:L14"/>
    <mergeCell ref="M14:O1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</vt:lpstr>
      <vt:lpstr>Mutual Inductance</vt:lpstr>
      <vt:lpstr>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2025-11-09T20:46:49Z</dcterms:modified>
</cp:coreProperties>
</file>
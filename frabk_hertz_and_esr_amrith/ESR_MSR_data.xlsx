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ACER.DESKTOP-AET6VDV\Desktop\sem 5\optics lab\P_345-P_343-Laboratory-Resources\frabk_hertz_and_esr_amrith\"/>
    </mc:Choice>
  </mc:AlternateContent>
  <xr:revisionPtr revIDLastSave="0" documentId="13_ncr:1_{BF947A6C-0871-4560-97E8-FC7E9988628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3.91MHz" sheetId="2" r:id="rId1"/>
    <sheet name="15 MHz" sheetId="1" r:id="rId2"/>
    <sheet name="16.11 MHz" sheetId="3" r:id="rId3"/>
    <sheet name="MS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2" i="1"/>
  <c r="K3" i="2"/>
  <c r="K4" i="2"/>
  <c r="K5" i="2"/>
  <c r="K6" i="2"/>
  <c r="K7" i="2"/>
  <c r="K8" i="2"/>
  <c r="K9" i="2"/>
  <c r="K10" i="2"/>
  <c r="K2" i="2"/>
  <c r="K3" i="3"/>
  <c r="K4" i="3"/>
  <c r="K5" i="3"/>
  <c r="K6" i="3"/>
  <c r="K7" i="3"/>
  <c r="K8" i="3"/>
  <c r="K9" i="3"/>
  <c r="K10" i="3"/>
  <c r="K2" i="3"/>
  <c r="G3" i="3"/>
  <c r="G4" i="3"/>
  <c r="G5" i="3"/>
  <c r="G6" i="3"/>
  <c r="G7" i="3"/>
  <c r="G8" i="3"/>
  <c r="G9" i="3"/>
  <c r="G10" i="3"/>
  <c r="G2" i="3"/>
  <c r="H2" i="3" s="1"/>
  <c r="G3" i="2"/>
  <c r="H3" i="2" s="1"/>
  <c r="G4" i="2"/>
  <c r="G5" i="2"/>
  <c r="G6" i="2"/>
  <c r="G7" i="2"/>
  <c r="G8" i="2"/>
  <c r="G9" i="2"/>
  <c r="H9" i="2" s="1"/>
  <c r="G10" i="2"/>
  <c r="H10" i="2" s="1"/>
  <c r="G2" i="2"/>
  <c r="H4" i="2"/>
  <c r="H5" i="2"/>
  <c r="H6" i="2"/>
  <c r="H7" i="2"/>
  <c r="H8" i="2"/>
  <c r="H10" i="3"/>
  <c r="H3" i="3"/>
  <c r="H4" i="3"/>
  <c r="H5" i="3"/>
  <c r="H6" i="3"/>
  <c r="H7" i="3"/>
  <c r="H8" i="3"/>
  <c r="H9" i="3"/>
  <c r="F3" i="3"/>
  <c r="F2" i="3"/>
  <c r="E2" i="3"/>
  <c r="E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D10" i="3"/>
  <c r="D9" i="3"/>
  <c r="D8" i="3"/>
  <c r="D7" i="3"/>
  <c r="D6" i="3"/>
  <c r="D5" i="3"/>
  <c r="D4" i="3"/>
  <c r="D3" i="3"/>
  <c r="D2" i="3"/>
  <c r="H2" i="2"/>
  <c r="F2" i="2"/>
  <c r="E2" i="2"/>
  <c r="E10" i="2"/>
  <c r="F10" i="2" s="1"/>
  <c r="D10" i="2"/>
  <c r="E9" i="2"/>
  <c r="F9" i="2" s="1"/>
  <c r="D9" i="2"/>
  <c r="E8" i="2"/>
  <c r="F8" i="2" s="1"/>
  <c r="D8" i="2"/>
  <c r="E7" i="2"/>
  <c r="F7" i="2" s="1"/>
  <c r="D7" i="2"/>
  <c r="E6" i="2"/>
  <c r="F6" i="2" s="1"/>
  <c r="D6" i="2"/>
  <c r="E5" i="2"/>
  <c r="F5" i="2" s="1"/>
  <c r="D5" i="2"/>
  <c r="E4" i="2"/>
  <c r="F4" i="2" s="1"/>
  <c r="D4" i="2"/>
  <c r="F3" i="2"/>
  <c r="E3" i="2"/>
  <c r="D3" i="2"/>
  <c r="D2" i="2"/>
  <c r="H11" i="1"/>
  <c r="G3" i="1"/>
  <c r="H3" i="1" s="1"/>
  <c r="G4" i="1"/>
  <c r="H4" i="1" s="1"/>
  <c r="G5" i="1"/>
  <c r="G6" i="1"/>
  <c r="G7" i="1"/>
  <c r="G8" i="1"/>
  <c r="G9" i="1"/>
  <c r="G10" i="1"/>
  <c r="H10" i="1" s="1"/>
  <c r="G2" i="1"/>
  <c r="H6" i="1"/>
  <c r="H7" i="1"/>
  <c r="H8" i="1"/>
  <c r="H9" i="1"/>
  <c r="H2" i="1"/>
  <c r="H5" i="1"/>
  <c r="F3" i="1"/>
  <c r="F4" i="1"/>
  <c r="F5" i="1"/>
  <c r="F6" i="1"/>
  <c r="F7" i="1"/>
  <c r="F8" i="1"/>
  <c r="F9" i="1"/>
  <c r="F10" i="1"/>
  <c r="F2" i="1"/>
  <c r="E3" i="1"/>
  <c r="E4" i="1"/>
  <c r="E5" i="1"/>
  <c r="E6" i="1"/>
  <c r="E7" i="1"/>
  <c r="E8" i="1"/>
  <c r="E9" i="1"/>
  <c r="E10" i="1"/>
  <c r="E2" i="1"/>
  <c r="D3" i="1"/>
  <c r="D4" i="1"/>
  <c r="D5" i="1"/>
  <c r="D6" i="1"/>
  <c r="D7" i="1"/>
  <c r="D8" i="1"/>
  <c r="D9" i="1"/>
  <c r="D10" i="1"/>
  <c r="D2" i="1"/>
  <c r="H11" i="3" l="1"/>
  <c r="H11" i="2" l="1"/>
</calcChain>
</file>

<file path=xl/sharedStrings.xml><?xml version="1.0" encoding="utf-8"?>
<sst xmlns="http://schemas.openxmlformats.org/spreadsheetml/2006/main" count="36" uniqueCount="13">
  <si>
    <t>Sl. No</t>
  </si>
  <si>
    <t>Current 'I' (mA)</t>
  </si>
  <si>
    <t>2Q (V)</t>
  </si>
  <si>
    <t>Q (V)</t>
  </si>
  <si>
    <t>RMS magnetic field 'H' (mT)</t>
  </si>
  <si>
    <t>Hpp​ (Gauss)</t>
  </si>
  <si>
    <t>H0​ (Gauss)</t>
  </si>
  <si>
    <t>g</t>
  </si>
  <si>
    <t>Average g</t>
  </si>
  <si>
    <t>1/Q</t>
  </si>
  <si>
    <t>Magnetic Field (MT)</t>
  </si>
  <si>
    <t>Resonant Frequency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</si>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</sst>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0" fontId="2" fillId="0" borderId="2" xfId="0" applyFont="1" applyFill="1" applyBorder="1" applyAlignment="1">
      <alignment horizontal="left" vertical="center" indent="1" readingOrder="1"/>
    </xf>
    <xf numFmtId="0" fontId="2" fillId="0" borderId="0" xfId="0" applyFont="1" applyFill="1" applyBorder="1" applyAlignment="1">
      <alignment horizontal="left" vertical="center" indent="1" readingOrder="1"/>
    </xf>
    <xf numFmtId="0" fontId="1" fillId="0" borderId="0" xfId="0" applyFont="1" applyBorder="1" applyAlignment="1">
      <alignment horizontal="right" vertical="center" wrapText="1" indent="1" readingOrder="1"/>
    </xf>
    <xf numFmtId="0" fontId="0" fillId="0" borderId="0" xfId="0" applyBorder="1"/>
    <xf numFmtId="0" fontId="2" fillId="0" borderId="3" xfId="0" applyFont="1" applyBorder="1" applyAlignment="1">
      <alignment horizontal="right" vertical="center" indent="1" readingOrder="1"/>
    </xf>
    <xf numFmtId="0" fontId="1" fillId="0" borderId="3" xfId="0" applyFont="1" applyBorder="1" applyAlignment="1">
      <alignment horizontal="righ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60CF7-F755-4C88-B8E5-4761E65EA43C}">
  <dimension ref="A1:K11"/>
  <sheetViews>
    <sheetView workbookViewId="0">
      <selection activeCell="K2" sqref="K2:K10"/>
    </sheetView>
  </sheetViews>
  <sheetFormatPr defaultRowHeight="14.4" x14ac:dyDescent="0.3"/>
  <cols>
    <col min="1" max="1" width="8" bestFit="1" customWidth="1"/>
    <col min="2" max="2" width="17" bestFit="1" customWidth="1"/>
    <col min="3" max="3" width="8.33203125" bestFit="1" customWidth="1"/>
    <col min="4" max="4" width="7.21875" bestFit="1" customWidth="1"/>
    <col min="5" max="5" width="29.5546875" bestFit="1" customWidth="1"/>
    <col min="6" max="8" width="14.6640625" bestFit="1" customWidth="1"/>
  </cols>
  <sheetData>
    <row r="1" spans="1:1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t="s">
        <v>5</v>
      </c>
      <c r="K1" s="4" t="s">
        <v>9</v>
      </c>
    </row>
    <row r="2" spans="1:11" ht="15" thickBot="1" x14ac:dyDescent="0.35">
      <c r="A2" s="2">
        <v>1</v>
      </c>
      <c r="B2" s="2">
        <v>143</v>
      </c>
      <c r="C2" s="2">
        <v>10.4</v>
      </c>
      <c r="D2" s="2">
        <f>C2/2</f>
        <v>5.2</v>
      </c>
      <c r="E2" s="2">
        <f>0.00368*B2 - 0.016</f>
        <v>0.51024000000000003</v>
      </c>
      <c r="F2" s="2">
        <f>2*SQRT(2)*E2</f>
        <v>1.4431766561304962</v>
      </c>
      <c r="G2" s="2">
        <f>F2*D2/14.6</f>
        <v>0.51400812410127261</v>
      </c>
      <c r="H2" s="2">
        <f>10^5*6.625*10^-27 * 13.91 / (G2 * 0.927*10^-20)</f>
        <v>1.9340303953930627</v>
      </c>
      <c r="J2">
        <v>1.4431766561304962</v>
      </c>
      <c r="K2">
        <f>1/D2</f>
        <v>0.19230769230769229</v>
      </c>
    </row>
    <row r="3" spans="1:11" ht="15" thickBot="1" x14ac:dyDescent="0.35">
      <c r="A3" s="2">
        <v>2</v>
      </c>
      <c r="B3" s="2">
        <v>182</v>
      </c>
      <c r="C3" s="2">
        <v>8</v>
      </c>
      <c r="D3" s="2">
        <f t="shared" ref="D3:D10" si="0">C3/2</f>
        <v>4</v>
      </c>
      <c r="E3" s="2">
        <f t="shared" ref="E3:E10" si="1">0.00368*B3 - 0.016</f>
        <v>0.65376000000000001</v>
      </c>
      <c r="F3" s="2">
        <f t="shared" ref="F3:F10" si="2">2*SQRT(2)*E3</f>
        <v>1.8491125170740694</v>
      </c>
      <c r="G3" s="2">
        <f t="shared" ref="G3:G10" si="3">F3*D3/14.6</f>
        <v>0.50660616906138889</v>
      </c>
      <c r="H3" s="2">
        <f t="shared" ref="H3:H10" si="4">10^5*6.625*10^-27 * 13.91 / (G3 * 0.927*10^-20)</f>
        <v>1.9622882550614344</v>
      </c>
      <c r="J3">
        <v>1.8491125170740694</v>
      </c>
      <c r="K3">
        <f t="shared" ref="K3:K10" si="5">1/D3</f>
        <v>0.25</v>
      </c>
    </row>
    <row r="4" spans="1:11" ht="15" thickBot="1" x14ac:dyDescent="0.35">
      <c r="A4" s="2">
        <v>3</v>
      </c>
      <c r="B4" s="2">
        <v>220</v>
      </c>
      <c r="C4" s="2">
        <v>6.32</v>
      </c>
      <c r="D4" s="2">
        <f t="shared" si="0"/>
        <v>3.16</v>
      </c>
      <c r="E4" s="2">
        <f t="shared" si="1"/>
        <v>0.79359999999999997</v>
      </c>
      <c r="F4" s="2">
        <f t="shared" si="2"/>
        <v>2.2446397661985764</v>
      </c>
      <c r="G4" s="2">
        <f t="shared" si="3"/>
        <v>0.48582614117722617</v>
      </c>
      <c r="H4" s="2">
        <f t="shared" si="4"/>
        <v>2.0462203476370511</v>
      </c>
      <c r="J4">
        <v>2.2446397661985764</v>
      </c>
      <c r="K4">
        <f t="shared" si="5"/>
        <v>0.31645569620253161</v>
      </c>
    </row>
    <row r="5" spans="1:11" ht="15" thickBot="1" x14ac:dyDescent="0.35">
      <c r="A5" s="2">
        <v>4</v>
      </c>
      <c r="B5" s="2">
        <v>257</v>
      </c>
      <c r="C5" s="2">
        <v>5.28</v>
      </c>
      <c r="D5" s="2">
        <f t="shared" si="0"/>
        <v>2.64</v>
      </c>
      <c r="E5" s="2">
        <f t="shared" si="1"/>
        <v>0.92976000000000003</v>
      </c>
      <c r="F5" s="2">
        <f t="shared" si="2"/>
        <v>2.629758403504018</v>
      </c>
      <c r="G5" s="2">
        <f t="shared" si="3"/>
        <v>0.4755179578938773</v>
      </c>
      <c r="H5" s="2">
        <f t="shared" si="4"/>
        <v>2.0905779035009409</v>
      </c>
      <c r="J5">
        <v>2.629758403504018</v>
      </c>
      <c r="K5">
        <f t="shared" si="5"/>
        <v>0.37878787878787878</v>
      </c>
    </row>
    <row r="6" spans="1:11" ht="15" thickBot="1" x14ac:dyDescent="0.35">
      <c r="A6" s="2">
        <v>5</v>
      </c>
      <c r="B6" s="2">
        <v>294</v>
      </c>
      <c r="C6" s="2">
        <v>4.5599999999999996</v>
      </c>
      <c r="D6" s="2">
        <f t="shared" si="0"/>
        <v>2.2799999999999998</v>
      </c>
      <c r="E6" s="2">
        <f t="shared" si="1"/>
        <v>1.06592</v>
      </c>
      <c r="F6" s="2">
        <f t="shared" si="2"/>
        <v>3.0148770408094592</v>
      </c>
      <c r="G6" s="2">
        <f t="shared" si="3"/>
        <v>0.47081641459216206</v>
      </c>
      <c r="H6" s="2">
        <f t="shared" si="4"/>
        <v>2.1114542838357959</v>
      </c>
      <c r="J6">
        <v>3.0148770408094592</v>
      </c>
      <c r="K6">
        <f t="shared" si="5"/>
        <v>0.43859649122807021</v>
      </c>
    </row>
    <row r="7" spans="1:11" ht="15" thickBot="1" x14ac:dyDescent="0.35">
      <c r="A7" s="2">
        <v>6</v>
      </c>
      <c r="B7" s="2">
        <v>329</v>
      </c>
      <c r="C7" s="2">
        <v>4</v>
      </c>
      <c r="D7" s="2">
        <f t="shared" si="0"/>
        <v>2</v>
      </c>
      <c r="E7" s="2">
        <f t="shared" si="1"/>
        <v>1.19472</v>
      </c>
      <c r="F7" s="2">
        <f t="shared" si="2"/>
        <v>3.3791784544767687</v>
      </c>
      <c r="G7" s="2">
        <f t="shared" si="3"/>
        <v>0.46290115814750254</v>
      </c>
      <c r="H7" s="2">
        <f t="shared" si="4"/>
        <v>2.1475585402922248</v>
      </c>
      <c r="J7">
        <v>3.3791784544767687</v>
      </c>
      <c r="K7">
        <f t="shared" si="5"/>
        <v>0.5</v>
      </c>
    </row>
    <row r="8" spans="1:11" ht="15" thickBot="1" x14ac:dyDescent="0.35">
      <c r="A8" s="2">
        <v>7</v>
      </c>
      <c r="B8" s="2">
        <v>364</v>
      </c>
      <c r="C8" s="2">
        <v>3.76</v>
      </c>
      <c r="D8" s="2">
        <f t="shared" si="0"/>
        <v>1.88</v>
      </c>
      <c r="E8" s="2">
        <f t="shared" si="1"/>
        <v>1.32352</v>
      </c>
      <c r="F8" s="2">
        <f t="shared" si="2"/>
        <v>3.7434798681440777</v>
      </c>
      <c r="G8" s="2">
        <f t="shared" si="3"/>
        <v>0.4820371337062237</v>
      </c>
      <c r="H8" s="2">
        <f t="shared" si="4"/>
        <v>2.0623044698807105</v>
      </c>
      <c r="J8">
        <v>3.7434798681440777</v>
      </c>
      <c r="K8">
        <f t="shared" si="5"/>
        <v>0.53191489361702127</v>
      </c>
    </row>
    <row r="9" spans="1:11" ht="15" thickBot="1" x14ac:dyDescent="0.35">
      <c r="A9" s="2">
        <v>8</v>
      </c>
      <c r="B9" s="2">
        <v>399</v>
      </c>
      <c r="C9" s="2">
        <v>3.28</v>
      </c>
      <c r="D9" s="2">
        <f t="shared" si="0"/>
        <v>1.64</v>
      </c>
      <c r="E9" s="2">
        <f t="shared" si="1"/>
        <v>1.4523200000000001</v>
      </c>
      <c r="F9" s="2">
        <f t="shared" si="2"/>
        <v>4.1077812818113868</v>
      </c>
      <c r="G9" s="2">
        <f t="shared" si="3"/>
        <v>0.46142200699799135</v>
      </c>
      <c r="H9" s="2">
        <f t="shared" si="4"/>
        <v>2.154442831971727</v>
      </c>
      <c r="J9">
        <v>4.1077812818113868</v>
      </c>
      <c r="K9">
        <f t="shared" si="5"/>
        <v>0.6097560975609756</v>
      </c>
    </row>
    <row r="10" spans="1:11" ht="15" thickBot="1" x14ac:dyDescent="0.35">
      <c r="A10" s="2">
        <v>9</v>
      </c>
      <c r="B10" s="2">
        <v>434</v>
      </c>
      <c r="C10" s="2">
        <v>3.04</v>
      </c>
      <c r="D10" s="2">
        <f t="shared" si="0"/>
        <v>1.52</v>
      </c>
      <c r="E10" s="2">
        <f t="shared" si="1"/>
        <v>1.5811200000000001</v>
      </c>
      <c r="F10" s="2">
        <f t="shared" si="2"/>
        <v>4.4720826954786963</v>
      </c>
      <c r="G10" s="2">
        <f t="shared" si="3"/>
        <v>0.46558669158408345</v>
      </c>
      <c r="H10" s="2">
        <f t="shared" si="4"/>
        <v>2.1351712870239936</v>
      </c>
      <c r="J10">
        <v>4.4720826954786963</v>
      </c>
      <c r="K10">
        <f t="shared" si="5"/>
        <v>0.65789473684210531</v>
      </c>
    </row>
    <row r="11" spans="1:11" ht="15" thickBot="1" x14ac:dyDescent="0.35">
      <c r="A11" s="2"/>
      <c r="B11" s="2"/>
      <c r="C11" s="2"/>
      <c r="D11" s="2"/>
      <c r="E11" s="2"/>
      <c r="F11" s="2"/>
      <c r="G11" s="1" t="s">
        <v>8</v>
      </c>
      <c r="H11" s="2">
        <f>AVERAGE(H2:H10)</f>
        <v>2.0715609238441051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selection activeCell="K2" sqref="K2:K10"/>
    </sheetView>
  </sheetViews>
  <sheetFormatPr defaultRowHeight="14.4" x14ac:dyDescent="0.3"/>
  <cols>
    <col min="1" max="1" width="8" bestFit="1" customWidth="1"/>
    <col min="2" max="2" width="17" bestFit="1" customWidth="1"/>
    <col min="3" max="3" width="8.33203125" bestFit="1" customWidth="1"/>
    <col min="4" max="4" width="7.21875" bestFit="1" customWidth="1"/>
    <col min="5" max="5" width="29.5546875" bestFit="1" customWidth="1"/>
    <col min="6" max="8" width="14.6640625" bestFit="1" customWidth="1"/>
  </cols>
  <sheetData>
    <row r="1" spans="1:1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t="s">
        <v>5</v>
      </c>
      <c r="K1" s="4" t="s">
        <v>9</v>
      </c>
    </row>
    <row r="2" spans="1:11" ht="15" thickBot="1" x14ac:dyDescent="0.35">
      <c r="A2" s="2">
        <v>1</v>
      </c>
      <c r="B2" s="2">
        <v>144</v>
      </c>
      <c r="C2" s="2">
        <v>11.2</v>
      </c>
      <c r="D2" s="2">
        <f>C2/2</f>
        <v>5.6</v>
      </c>
      <c r="E2" s="2">
        <f>0.00368*B2 - 0.016</f>
        <v>0.51392000000000004</v>
      </c>
      <c r="F2" s="2">
        <f>2*SQRT(2)*E2</f>
        <v>1.4535852679495622</v>
      </c>
      <c r="G2" s="2">
        <f>F2*D2/14.6</f>
        <v>0.55753955482996898</v>
      </c>
      <c r="H2" s="2">
        <f>10^5*6.625*10^-27 * 15 / (G2 * 0.927*10^-20)</f>
        <v>1.9227451455329225</v>
      </c>
      <c r="J2">
        <v>1.4535852679495622</v>
      </c>
      <c r="K2">
        <f>1/D2</f>
        <v>0.17857142857142858</v>
      </c>
    </row>
    <row r="3" spans="1:11" ht="15" thickBot="1" x14ac:dyDescent="0.35">
      <c r="A3" s="2">
        <v>2</v>
      </c>
      <c r="B3" s="2">
        <v>182</v>
      </c>
      <c r="C3" s="2">
        <v>8.8000000000000007</v>
      </c>
      <c r="D3" s="2">
        <f t="shared" ref="D3:D10" si="0">C3/2</f>
        <v>4.4000000000000004</v>
      </c>
      <c r="E3" s="2">
        <f t="shared" ref="E3:E10" si="1">0.00368*B3 - 0.016</f>
        <v>0.65376000000000001</v>
      </c>
      <c r="F3" s="2">
        <f t="shared" ref="F3:F10" si="2">2*SQRT(2)*E3</f>
        <v>1.8491125170740694</v>
      </c>
      <c r="G3" s="2">
        <f t="shared" ref="G3:G10" si="3">F3*D3/14.6</f>
        <v>0.55726678596752788</v>
      </c>
      <c r="H3" s="2">
        <f t="shared" ref="H3:H10" si="4">10^5*6.625*10^-27 * 15 / (G3 * 0.927*10^-20)</f>
        <v>1.9236862836364621</v>
      </c>
      <c r="J3">
        <v>1.8491125170740694</v>
      </c>
      <c r="K3">
        <f t="shared" ref="K3:K10" si="5">1/D3</f>
        <v>0.22727272727272727</v>
      </c>
    </row>
    <row r="4" spans="1:11" ht="15" thickBot="1" x14ac:dyDescent="0.35">
      <c r="A4" s="2">
        <v>3</v>
      </c>
      <c r="B4" s="2">
        <v>221</v>
      </c>
      <c r="C4" s="2">
        <v>7.04</v>
      </c>
      <c r="D4" s="2">
        <f t="shared" si="0"/>
        <v>3.52</v>
      </c>
      <c r="E4" s="2">
        <f t="shared" si="1"/>
        <v>0.79727999999999999</v>
      </c>
      <c r="F4" s="2">
        <f t="shared" si="2"/>
        <v>2.2550483780176425</v>
      </c>
      <c r="G4" s="2">
        <f t="shared" si="3"/>
        <v>0.54368289661795222</v>
      </c>
      <c r="H4" s="2">
        <f t="shared" si="4"/>
        <v>1.9717494869904137</v>
      </c>
      <c r="J4">
        <v>2.2550483780176425</v>
      </c>
      <c r="K4">
        <f t="shared" si="5"/>
        <v>0.28409090909090912</v>
      </c>
    </row>
    <row r="5" spans="1:11" ht="15" thickBot="1" x14ac:dyDescent="0.35">
      <c r="A5" s="2">
        <v>4</v>
      </c>
      <c r="B5" s="2">
        <v>257</v>
      </c>
      <c r="C5" s="2">
        <v>5.92</v>
      </c>
      <c r="D5" s="2">
        <f t="shared" si="0"/>
        <v>2.96</v>
      </c>
      <c r="E5" s="2">
        <f t="shared" si="1"/>
        <v>0.92976000000000003</v>
      </c>
      <c r="F5" s="2">
        <f t="shared" si="2"/>
        <v>2.629758403504018</v>
      </c>
      <c r="G5" s="2">
        <f t="shared" si="3"/>
        <v>0.53315649824465028</v>
      </c>
      <c r="H5" s="2">
        <f t="shared" si="4"/>
        <v>2.010678808232393</v>
      </c>
      <c r="J5">
        <v>2.629758403504018</v>
      </c>
      <c r="K5">
        <f t="shared" si="5"/>
        <v>0.33783783783783783</v>
      </c>
    </row>
    <row r="6" spans="1:11" ht="15" thickBot="1" x14ac:dyDescent="0.35">
      <c r="A6" s="2">
        <v>5</v>
      </c>
      <c r="B6" s="2">
        <v>294</v>
      </c>
      <c r="C6" s="2">
        <v>5.04</v>
      </c>
      <c r="D6" s="2">
        <f t="shared" si="0"/>
        <v>2.52</v>
      </c>
      <c r="E6" s="2">
        <f t="shared" si="1"/>
        <v>1.06592</v>
      </c>
      <c r="F6" s="2">
        <f t="shared" si="2"/>
        <v>3.0148770408094592</v>
      </c>
      <c r="G6" s="2">
        <f t="shared" si="3"/>
        <v>0.52037603718081082</v>
      </c>
      <c r="H6" s="2">
        <f t="shared" si="4"/>
        <v>2.060061178642298</v>
      </c>
      <c r="J6">
        <v>3.0148770408094592</v>
      </c>
      <c r="K6">
        <f t="shared" si="5"/>
        <v>0.3968253968253968</v>
      </c>
    </row>
    <row r="7" spans="1:11" ht="15" thickBot="1" x14ac:dyDescent="0.35">
      <c r="A7" s="2">
        <v>6</v>
      </c>
      <c r="B7" s="2">
        <v>331</v>
      </c>
      <c r="C7" s="2">
        <v>4.4800000000000004</v>
      </c>
      <c r="D7" s="2">
        <f t="shared" si="0"/>
        <v>2.2400000000000002</v>
      </c>
      <c r="E7" s="2">
        <f t="shared" si="1"/>
        <v>1.20208</v>
      </c>
      <c r="F7" s="2">
        <f t="shared" si="2"/>
        <v>3.3999956781149003</v>
      </c>
      <c r="G7" s="2">
        <f t="shared" si="3"/>
        <v>0.5216431725326971</v>
      </c>
      <c r="H7" s="2">
        <f t="shared" si="4"/>
        <v>2.0550570369531962</v>
      </c>
      <c r="J7">
        <v>3.3999956781149003</v>
      </c>
      <c r="K7">
        <f t="shared" si="5"/>
        <v>0.4464285714285714</v>
      </c>
    </row>
    <row r="8" spans="1:11" ht="15" thickBot="1" x14ac:dyDescent="0.35">
      <c r="A8" s="2">
        <v>7</v>
      </c>
      <c r="B8" s="2">
        <v>367</v>
      </c>
      <c r="C8" s="2">
        <v>3.92</v>
      </c>
      <c r="D8" s="2">
        <f t="shared" si="0"/>
        <v>1.96</v>
      </c>
      <c r="E8" s="2">
        <f t="shared" si="1"/>
        <v>1.33456</v>
      </c>
      <c r="F8" s="2">
        <f t="shared" si="2"/>
        <v>3.7747057036012754</v>
      </c>
      <c r="G8" s="2">
        <f t="shared" si="3"/>
        <v>0.50674131363414388</v>
      </c>
      <c r="H8" s="2">
        <f t="shared" si="4"/>
        <v>2.1154905740838701</v>
      </c>
      <c r="J8">
        <v>3.7747057036012754</v>
      </c>
      <c r="K8">
        <f t="shared" si="5"/>
        <v>0.51020408163265307</v>
      </c>
    </row>
    <row r="9" spans="1:11" ht="15" thickBot="1" x14ac:dyDescent="0.35">
      <c r="A9" s="2">
        <v>8</v>
      </c>
      <c r="B9" s="2">
        <v>402</v>
      </c>
      <c r="C9" s="2">
        <v>3.6</v>
      </c>
      <c r="D9" s="2">
        <f t="shared" si="0"/>
        <v>1.8</v>
      </c>
      <c r="E9" s="2">
        <f t="shared" si="1"/>
        <v>1.46336</v>
      </c>
      <c r="F9" s="2">
        <f t="shared" si="2"/>
        <v>4.1390071172685854</v>
      </c>
      <c r="G9" s="2">
        <f t="shared" si="3"/>
        <v>0.51028854870434615</v>
      </c>
      <c r="H9" s="2">
        <f t="shared" si="4"/>
        <v>2.1007848896742822</v>
      </c>
      <c r="J9">
        <v>4.1390071172685854</v>
      </c>
      <c r="K9">
        <f t="shared" si="5"/>
        <v>0.55555555555555558</v>
      </c>
    </row>
    <row r="10" spans="1:11" ht="15" thickBot="1" x14ac:dyDescent="0.35">
      <c r="A10" s="2">
        <v>9</v>
      </c>
      <c r="B10" s="2">
        <v>437</v>
      </c>
      <c r="C10" s="2">
        <v>3.32</v>
      </c>
      <c r="D10" s="2">
        <f t="shared" si="0"/>
        <v>1.66</v>
      </c>
      <c r="E10" s="2">
        <f t="shared" si="1"/>
        <v>1.59216</v>
      </c>
      <c r="F10" s="2">
        <f t="shared" si="2"/>
        <v>4.503308530935894</v>
      </c>
      <c r="G10" s="2">
        <f t="shared" si="3"/>
        <v>0.51202001105161532</v>
      </c>
      <c r="H10" s="2">
        <f t="shared" si="4"/>
        <v>2.0936808119865522</v>
      </c>
      <c r="J10">
        <v>4.503308530935894</v>
      </c>
      <c r="K10">
        <f t="shared" si="5"/>
        <v>0.60240963855421692</v>
      </c>
    </row>
    <row r="11" spans="1:11" ht="15" thickBot="1" x14ac:dyDescent="0.35">
      <c r="A11" s="2"/>
      <c r="B11" s="2"/>
      <c r="C11" s="2"/>
      <c r="D11" s="2"/>
      <c r="E11" s="2"/>
      <c r="F11" s="2"/>
      <c r="G11" s="1" t="s">
        <v>8</v>
      </c>
      <c r="H11" s="2">
        <f>AVERAGE(H2:H10)</f>
        <v>2.0282149128591542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7B47D-80A9-4C3C-80FC-B2BDA244A6BA}">
  <dimension ref="A1:K11"/>
  <sheetViews>
    <sheetView workbookViewId="0">
      <selection activeCell="K2" sqref="K2:K10"/>
    </sheetView>
  </sheetViews>
  <sheetFormatPr defaultRowHeight="14.4" x14ac:dyDescent="0.3"/>
  <cols>
    <col min="1" max="1" width="8" bestFit="1" customWidth="1"/>
    <col min="2" max="2" width="17" bestFit="1" customWidth="1"/>
    <col min="3" max="3" width="8.33203125" bestFit="1" customWidth="1"/>
    <col min="4" max="4" width="7.21875" bestFit="1" customWidth="1"/>
    <col min="5" max="5" width="29.5546875" bestFit="1" customWidth="1"/>
    <col min="6" max="8" width="14.6640625" bestFit="1" customWidth="1"/>
    <col min="10" max="10" width="13.88671875" customWidth="1"/>
  </cols>
  <sheetData>
    <row r="1" spans="1:1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t="s">
        <v>5</v>
      </c>
      <c r="K1" s="3" t="s">
        <v>9</v>
      </c>
    </row>
    <row r="2" spans="1:11" ht="15" thickBot="1" x14ac:dyDescent="0.35">
      <c r="A2" s="2">
        <v>1</v>
      </c>
      <c r="B2" s="2">
        <v>142</v>
      </c>
      <c r="C2" s="2">
        <v>11.8</v>
      </c>
      <c r="D2" s="2">
        <f>C2/2</f>
        <v>5.9</v>
      </c>
      <c r="E2" s="2">
        <f>0.00368*B2 - 0.016</f>
        <v>0.50656000000000001</v>
      </c>
      <c r="F2" s="2">
        <f>2*SQRT(2)*E2</f>
        <v>1.4327680443114301</v>
      </c>
      <c r="G2" s="2">
        <f>F2*D2/14.6</f>
        <v>0.57899530557790668</v>
      </c>
      <c r="H2" s="2">
        <f>10^5*6.625*10^-27 * 16.11 / (G2 * 0.927*10^-20)</f>
        <v>1.9885048123268296</v>
      </c>
      <c r="J2">
        <v>1.4327680443114301</v>
      </c>
      <c r="K2">
        <f>1/D2</f>
        <v>0.16949152542372881</v>
      </c>
    </row>
    <row r="3" spans="1:11" ht="15" thickBot="1" x14ac:dyDescent="0.35">
      <c r="A3" s="2">
        <v>2</v>
      </c>
      <c r="B3" s="2">
        <v>181</v>
      </c>
      <c r="C3" s="2">
        <v>9.36</v>
      </c>
      <c r="D3" s="2">
        <f t="shared" ref="D3:E10" si="0">C3/2</f>
        <v>4.68</v>
      </c>
      <c r="E3" s="2">
        <f t="shared" ref="E3:E10" si="1">0.00368*B3 - 0.016</f>
        <v>0.65007999999999999</v>
      </c>
      <c r="F3" s="2">
        <f>2*SQRT(2)*E3</f>
        <v>1.8387039052550034</v>
      </c>
      <c r="G3" s="2">
        <f t="shared" ref="G3:G10" si="2">F3*D3/14.6</f>
        <v>0.58939275867078178</v>
      </c>
      <c r="H3" s="2">
        <f t="shared" ref="H3:H9" si="3">10^5*6.625*10^-27 * 16.11 / (G3 * 0.927*10^-20)</f>
        <v>1.953425681803149</v>
      </c>
      <c r="J3">
        <v>1.8387039052550034</v>
      </c>
      <c r="K3">
        <f>1/D3</f>
        <v>0.21367521367521369</v>
      </c>
    </row>
    <row r="4" spans="1:11" ht="15" thickBot="1" x14ac:dyDescent="0.35">
      <c r="A4" s="2">
        <v>3</v>
      </c>
      <c r="B4" s="2">
        <v>219</v>
      </c>
      <c r="C4" s="2">
        <v>7.6</v>
      </c>
      <c r="D4" s="2">
        <f t="shared" si="0"/>
        <v>3.8</v>
      </c>
      <c r="E4" s="2">
        <f t="shared" si="1"/>
        <v>0.78991999999999996</v>
      </c>
      <c r="F4" s="2">
        <f t="shared" ref="F3:F10" si="4">2*SQRT(2)*E4</f>
        <v>2.2342311543795104</v>
      </c>
      <c r="G4" s="2">
        <f t="shared" si="2"/>
        <v>0.58151221826316024</v>
      </c>
      <c r="H4" s="2">
        <f t="shared" si="3"/>
        <v>1.9798981264659863</v>
      </c>
      <c r="J4">
        <v>2.2342311543795104</v>
      </c>
      <c r="K4">
        <f>1/D4</f>
        <v>0.26315789473684209</v>
      </c>
    </row>
    <row r="5" spans="1:11" ht="15" thickBot="1" x14ac:dyDescent="0.35">
      <c r="A5" s="2">
        <v>4</v>
      </c>
      <c r="B5" s="2">
        <v>255</v>
      </c>
      <c r="C5" s="2">
        <v>6.32</v>
      </c>
      <c r="D5" s="2">
        <f t="shared" si="0"/>
        <v>3.16</v>
      </c>
      <c r="E5" s="2">
        <f t="shared" si="1"/>
        <v>0.9224</v>
      </c>
      <c r="F5" s="2">
        <f t="shared" si="4"/>
        <v>2.6089411798658859</v>
      </c>
      <c r="G5" s="2">
        <f t="shared" si="2"/>
        <v>0.56467494029973975</v>
      </c>
      <c r="H5" s="2">
        <f t="shared" si="3"/>
        <v>2.0389340296297922</v>
      </c>
      <c r="J5">
        <v>2.6089411798658859</v>
      </c>
      <c r="K5">
        <f>1/D5</f>
        <v>0.31645569620253161</v>
      </c>
    </row>
    <row r="6" spans="1:11" ht="15" thickBot="1" x14ac:dyDescent="0.35">
      <c r="A6" s="2">
        <v>5</v>
      </c>
      <c r="B6" s="2">
        <v>292</v>
      </c>
      <c r="C6" s="2">
        <v>5.4</v>
      </c>
      <c r="D6" s="2">
        <f t="shared" si="0"/>
        <v>2.7</v>
      </c>
      <c r="E6" s="2">
        <f t="shared" si="1"/>
        <v>1.0585599999999999</v>
      </c>
      <c r="F6" s="2">
        <f t="shared" si="4"/>
        <v>2.9940598171713271</v>
      </c>
      <c r="G6" s="2">
        <f t="shared" si="2"/>
        <v>0.55369599358647836</v>
      </c>
      <c r="H6" s="2">
        <f t="shared" si="3"/>
        <v>2.0793629803942055</v>
      </c>
      <c r="J6">
        <v>2.9940598171713271</v>
      </c>
      <c r="K6">
        <f>1/D6</f>
        <v>0.37037037037037035</v>
      </c>
    </row>
    <row r="7" spans="1:11" ht="15" thickBot="1" x14ac:dyDescent="0.35">
      <c r="A7" s="2">
        <v>6</v>
      </c>
      <c r="B7" s="2">
        <v>327</v>
      </c>
      <c r="C7" s="2">
        <v>4.76</v>
      </c>
      <c r="D7" s="2">
        <f t="shared" si="0"/>
        <v>2.38</v>
      </c>
      <c r="E7" s="2">
        <f t="shared" si="1"/>
        <v>1.18736</v>
      </c>
      <c r="F7" s="2">
        <f t="shared" si="4"/>
        <v>3.3583612308386366</v>
      </c>
      <c r="G7" s="2">
        <f t="shared" si="2"/>
        <v>0.54745888557506539</v>
      </c>
      <c r="H7" s="2">
        <f t="shared" si="3"/>
        <v>2.1030528169196079</v>
      </c>
      <c r="J7">
        <v>3.3583612308386366</v>
      </c>
      <c r="K7">
        <f>1/D7</f>
        <v>0.42016806722689076</v>
      </c>
    </row>
    <row r="8" spans="1:11" ht="15" thickBot="1" x14ac:dyDescent="0.35">
      <c r="A8" s="2">
        <v>7</v>
      </c>
      <c r="B8" s="2">
        <v>362</v>
      </c>
      <c r="C8" s="2">
        <v>4.16</v>
      </c>
      <c r="D8" s="2">
        <f t="shared" si="0"/>
        <v>2.08</v>
      </c>
      <c r="E8" s="2">
        <f t="shared" si="1"/>
        <v>1.31616</v>
      </c>
      <c r="F8" s="2">
        <f t="shared" si="4"/>
        <v>3.7226626445059456</v>
      </c>
      <c r="G8" s="2">
        <f t="shared" si="2"/>
        <v>0.53035193839536765</v>
      </c>
      <c r="H8" s="2">
        <f t="shared" si="3"/>
        <v>2.1708885517412995</v>
      </c>
      <c r="J8">
        <v>3.7226626445059456</v>
      </c>
      <c r="K8">
        <f>1/D8</f>
        <v>0.48076923076923073</v>
      </c>
    </row>
    <row r="9" spans="1:11" ht="15" thickBot="1" x14ac:dyDescent="0.35">
      <c r="A9" s="2">
        <v>8</v>
      </c>
      <c r="B9" s="2">
        <v>398</v>
      </c>
      <c r="C9" s="2">
        <v>3.84</v>
      </c>
      <c r="D9" s="2">
        <f t="shared" si="0"/>
        <v>1.92</v>
      </c>
      <c r="E9" s="2">
        <f t="shared" si="1"/>
        <v>1.4486399999999999</v>
      </c>
      <c r="F9" s="2">
        <f t="shared" si="4"/>
        <v>4.0973726699923212</v>
      </c>
      <c r="G9" s="2">
        <f t="shared" si="2"/>
        <v>0.53883257030036003</v>
      </c>
      <c r="H9" s="2">
        <f t="shared" si="3"/>
        <v>2.1367211540581614</v>
      </c>
      <c r="J9">
        <v>4.0973726699923212</v>
      </c>
      <c r="K9">
        <f>1/D9</f>
        <v>0.52083333333333337</v>
      </c>
    </row>
    <row r="10" spans="1:11" ht="15" thickBot="1" x14ac:dyDescent="0.35">
      <c r="A10" s="2">
        <v>9</v>
      </c>
      <c r="B10" s="2">
        <v>433</v>
      </c>
      <c r="C10" s="2">
        <v>3.52</v>
      </c>
      <c r="D10" s="2">
        <f t="shared" si="0"/>
        <v>1.76</v>
      </c>
      <c r="E10" s="2">
        <f t="shared" si="1"/>
        <v>1.57744</v>
      </c>
      <c r="F10" s="2">
        <f t="shared" si="4"/>
        <v>4.4616740836596307</v>
      </c>
      <c r="G10" s="2">
        <f t="shared" si="2"/>
        <v>0.53784564296170889</v>
      </c>
      <c r="H10" s="2">
        <f>10^5*6.625*10^-27 * 16.11 / (G10 * 0.927*10^-20)</f>
        <v>2.1406419602403997</v>
      </c>
      <c r="J10">
        <v>4.4616740836596307</v>
      </c>
      <c r="K10">
        <f>1/D10</f>
        <v>0.56818181818181823</v>
      </c>
    </row>
    <row r="11" spans="1:11" ht="15" thickBot="1" x14ac:dyDescent="0.35">
      <c r="A11" s="2"/>
      <c r="B11" s="2"/>
      <c r="C11" s="2"/>
      <c r="D11" s="2"/>
      <c r="E11" s="2"/>
      <c r="F11" s="2"/>
      <c r="G11" s="1" t="s">
        <v>8</v>
      </c>
      <c r="H11" s="2">
        <f>AVERAGE(H2:H10)</f>
        <v>2.0657144570643817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BEE01-0031-4FA6-AE15-6429AC39F4A7}">
  <dimension ref="A1:C13"/>
  <sheetViews>
    <sheetView tabSelected="1" workbookViewId="0">
      <selection activeCell="G19" sqref="G19"/>
    </sheetView>
  </sheetViews>
  <sheetFormatPr defaultRowHeight="14.4" x14ac:dyDescent="0.3"/>
  <cols>
    <col min="1" max="1" width="10.77734375" bestFit="1" customWidth="1"/>
    <col min="2" max="2" width="21.5546875" bestFit="1" customWidth="1"/>
    <col min="3" max="3" width="22.88671875" bestFit="1" customWidth="1"/>
  </cols>
  <sheetData>
    <row r="1" spans="1:3" x14ac:dyDescent="0.3">
      <c r="A1" s="7" t="s">
        <v>12</v>
      </c>
      <c r="B1" s="7" t="s">
        <v>10</v>
      </c>
      <c r="C1" s="7" t="s">
        <v>11</v>
      </c>
    </row>
    <row r="2" spans="1:3" x14ac:dyDescent="0.3">
      <c r="A2" s="8">
        <v>1</v>
      </c>
      <c r="B2" s="8">
        <v>0.39</v>
      </c>
      <c r="C2" s="8">
        <v>4.218</v>
      </c>
    </row>
    <row r="3" spans="1:3" x14ac:dyDescent="0.3">
      <c r="A3" s="8">
        <v>2</v>
      </c>
      <c r="B3" s="8">
        <v>0.3</v>
      </c>
      <c r="C3" s="8">
        <v>3.5670000000000002</v>
      </c>
    </row>
    <row r="4" spans="1:3" x14ac:dyDescent="0.3">
      <c r="A4" s="8">
        <v>3</v>
      </c>
      <c r="B4" s="8">
        <v>0.25</v>
      </c>
      <c r="C4" s="8">
        <v>3.32</v>
      </c>
    </row>
    <row r="5" spans="1:3" x14ac:dyDescent="0.3">
      <c r="A5" s="8">
        <v>3.4</v>
      </c>
      <c r="B5" s="8">
        <v>0.24</v>
      </c>
      <c r="C5" s="8">
        <v>3.1739999999999999</v>
      </c>
    </row>
    <row r="6" spans="1:3" x14ac:dyDescent="0.3">
      <c r="A6" s="8">
        <v>4.03</v>
      </c>
      <c r="B6" s="8">
        <v>0.21</v>
      </c>
      <c r="C6" s="8">
        <v>2.919</v>
      </c>
    </row>
    <row r="7" spans="1:3" x14ac:dyDescent="0.3">
      <c r="A7" s="8">
        <v>4.9000000000000004</v>
      </c>
      <c r="B7" s="8">
        <v>0.19</v>
      </c>
      <c r="C7" s="8">
        <v>2.7269999999999999</v>
      </c>
    </row>
    <row r="8" spans="1:3" x14ac:dyDescent="0.3">
      <c r="A8" s="8">
        <v>5.9</v>
      </c>
      <c r="B8" s="8">
        <v>0.17</v>
      </c>
      <c r="C8" s="8">
        <v>2.536</v>
      </c>
    </row>
    <row r="9" spans="1:3" x14ac:dyDescent="0.3">
      <c r="A9" s="8">
        <v>6.9</v>
      </c>
      <c r="B9" s="8">
        <v>0.15</v>
      </c>
      <c r="C9" s="8">
        <v>2.4420000000000002</v>
      </c>
    </row>
    <row r="10" spans="1:3" x14ac:dyDescent="0.3">
      <c r="A10" s="8">
        <v>8.9</v>
      </c>
      <c r="B10" s="8">
        <v>0.11</v>
      </c>
      <c r="C10" s="8">
        <v>2.0939999999999999</v>
      </c>
    </row>
    <row r="11" spans="1:3" x14ac:dyDescent="0.3">
      <c r="A11" s="8">
        <v>10.9</v>
      </c>
      <c r="B11" s="8">
        <v>0.09</v>
      </c>
      <c r="C11" s="8">
        <v>1.8640000000000001</v>
      </c>
    </row>
    <row r="12" spans="1:3" x14ac:dyDescent="0.3">
      <c r="A12" s="8">
        <v>12.9</v>
      </c>
      <c r="B12" s="8">
        <v>0.08</v>
      </c>
      <c r="C12" s="8">
        <v>1.7030000000000001</v>
      </c>
    </row>
    <row r="13" spans="1:3" x14ac:dyDescent="0.3">
      <c r="A13" s="5"/>
      <c r="B13" s="6"/>
      <c r="C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13.91MHz</vt:lpstr>
      <vt:lpstr>15 MHz</vt:lpstr>
      <vt:lpstr>16.11 MHz</vt:lpstr>
      <vt:lpstr>MSR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2025-11-01T21:17:54Z</dcterms:modified>
</cp:coreProperties>
</file>